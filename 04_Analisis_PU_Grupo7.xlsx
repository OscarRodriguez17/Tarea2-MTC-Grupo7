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 1.14 Radier G-25" sheetId="1" state="visible" r:id="rId1"/>
    <sheet xmlns:r="http://schemas.openxmlformats.org/officeDocument/2006/relationships" name="APU 1.19 Pedestales G-25" sheetId="2" state="visible" r:id="rId2"/>
    <sheet xmlns:r="http://schemas.openxmlformats.org/officeDocument/2006/relationships" name="APU 1.26 Remoción Soleras" sheetId="3" state="visible" r:id="rId3"/>
    <sheet xmlns:r="http://schemas.openxmlformats.org/officeDocument/2006/relationships" name="APU 2.14 Cierre Bulld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$#,##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1F497D"/>
      <sz val="10"/>
    </font>
    <font>
      <name val="Calibri"/>
      <sz val="9"/>
    </font>
    <font>
      <name val="Calibri"/>
      <b val="1"/>
      <sz val="10"/>
    </font>
    <font>
      <name val="Calibri"/>
      <b val="1"/>
      <color rgb="00B25900"/>
      <sz val="11"/>
    </font>
    <font>
      <name val="Calibri"/>
      <b val="1"/>
      <sz val="9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5" fontId="6" fillId="4" borderId="1" pivotButton="0" quotePrefix="0" xfId="0"/>
    <xf numFmtId="166" fontId="0" fillId="0" borderId="1" pivotButton="0" quotePrefix="0" xfId="0"/>
    <xf numFmtId="0" fontId="7" fillId="5" borderId="1" pivotButton="0" quotePrefix="0" xfId="0"/>
    <xf numFmtId="0" fontId="0" fillId="5" borderId="1" pivotButton="0" quotePrefix="0" xfId="0"/>
    <xf numFmtId="165" fontId="7" fillId="5" borderId="1" pivotButton="0" quotePrefix="0" xfId="0"/>
    <xf numFmtId="0" fontId="8" fillId="0" borderId="1" pivotButton="0" quotePrefix="0" xfId="0"/>
    <xf numFmtId="0" fontId="0" fillId="0" borderId="1" pivotButton="0" quotePrefix="0" xfId="0"/>
    <xf numFmtId="165" fontId="8" fillId="0" borderId="1" pivotButton="0" quotePrefix="0" xfId="0"/>
    <xf numFmtId="0" fontId="9" fillId="6" borderId="2" pivotButton="0" quotePrefix="0" xfId="0"/>
    <xf numFmtId="0" fontId="0" fillId="6" borderId="2" pivotButton="0" quotePrefix="0" xfId="0"/>
    <xf numFmtId="165" fontId="9" fillId="6" borderId="2" pivotButton="0" quotePrefix="0" xfId="0"/>
    <xf numFmtId="0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18" customWidth="1" min="4" max="4"/>
    <col width="18" customWidth="1" min="5" max="5"/>
    <col width="35" customWidth="1" min="6" max="6"/>
    <col width="45" customWidth="1" min="7" max="7"/>
  </cols>
  <sheetData>
    <row r="1" ht="24" customHeight="1">
      <c r="A1" s="1" t="inlineStr">
        <is>
          <t>ANÁLISIS DE PRECIOS UNITARIOS (APU) DETALLADO — ÍTEM 1.14</t>
        </is>
      </c>
    </row>
    <row r="2" ht="18" customHeight="1">
      <c r="A2" s="2" t="inlineStr">
        <is>
          <t>Proyecto: Bodegas BSL Quilicura | Partida: Hormigón G-25 radier (malla acma C-92) | Unidad: m3 | Cantidad G7: 2,403 m3 | Fecha Base: Enero 2026</t>
        </is>
      </c>
    </row>
    <row r="4" ht="22" customHeight="1">
      <c r="A4" s="3" t="inlineStr">
        <is>
          <t>Descripción del Recurso / Insumo</t>
        </is>
      </c>
      <c r="B4" s="3" t="inlineStr">
        <is>
          <t>Unidad</t>
        </is>
      </c>
      <c r="C4" s="3" t="inlineStr">
        <is>
          <t>Cantidad Unit.</t>
        </is>
      </c>
      <c r="D4" s="3" t="inlineStr">
        <is>
          <t>Precio Unitario ($)</t>
        </is>
      </c>
      <c r="E4" s="3" t="inlineStr">
        <is>
          <t>Subtotal ($)</t>
        </is>
      </c>
      <c r="F4" s="3" t="inlineStr">
        <is>
          <t>Fuente Demostrable</t>
        </is>
      </c>
      <c r="G4" s="3" t="inlineStr">
        <is>
          <t>Observaciones Técnicas</t>
        </is>
      </c>
    </row>
    <row r="5" ht="18" customHeight="1">
      <c r="A5" s="4" t="inlineStr">
        <is>
          <t>1. MATERIALES (con mermas y pérdidas)</t>
        </is>
      </c>
    </row>
    <row r="6">
      <c r="A6" s="5" t="inlineStr">
        <is>
          <t>Hormigón premezclado G-25 (H-30) con aditivo plastificante y fibra</t>
        </is>
      </c>
      <c r="B6" s="6" t="inlineStr">
        <is>
          <t>m3</t>
        </is>
      </c>
      <c r="C6" s="7" t="n">
        <v>1.05</v>
      </c>
      <c r="D6" s="8" t="n">
        <v>102000</v>
      </c>
      <c r="E6" s="8">
        <f>C6*D6</f>
        <v/>
      </c>
      <c r="F6" s="5" t="inlineStr">
        <is>
          <t>Cotización Melón / Polpaico Premezclados Enero 2026</t>
        </is>
      </c>
      <c r="G6" s="5" t="inlineStr">
        <is>
          <t>5% de pérdida por transporte, bombeo y tolerancias de base</t>
        </is>
      </c>
    </row>
    <row r="7">
      <c r="A7" s="5" t="inlineStr">
        <is>
          <t>Malla electrosoldada Acma C-92 (alambre 4,2 mm, cuadrícula 15x15)</t>
        </is>
      </c>
      <c r="B7" s="6" t="inlineStr">
        <is>
          <t>m2</t>
        </is>
      </c>
      <c r="C7" s="7" t="n">
        <v>7.337</v>
      </c>
      <c r="D7" s="8" t="n">
        <v>1650</v>
      </c>
      <c r="E7" s="8">
        <f>C7*D7</f>
        <v/>
      </c>
      <c r="F7" s="5" t="inlineStr">
        <is>
          <t>FactoIA / Prodalam Enero 2026 ($21.430 por plancha 13m2)</t>
        </is>
      </c>
      <c r="G7" s="5" t="inlineStr">
        <is>
          <t>6,67 m2/m3 para e=15 cm más 10% de traslapes obligatorios</t>
        </is>
      </c>
    </row>
    <row r="8">
      <c r="A8" s="5" t="inlineStr">
        <is>
          <t>Polietileno 0,2 mm (film barrera de humedad bajo radier)</t>
        </is>
      </c>
      <c r="B8" s="6" t="inlineStr">
        <is>
          <t>m2</t>
        </is>
      </c>
      <c r="C8" s="7" t="n">
        <v>7.47</v>
      </c>
      <c r="D8" s="8" t="n">
        <v>550</v>
      </c>
      <c r="E8" s="8">
        <f>C8*D8</f>
        <v/>
      </c>
      <c r="F8" s="5" t="inlineStr">
        <is>
          <t>Sodimac Constructor / FactoIA Enero 2026</t>
        </is>
      </c>
      <c r="G8" s="5" t="inlineStr">
        <is>
          <t>Barrera de vapor con 12% traslape</t>
        </is>
      </c>
    </row>
    <row r="9">
      <c r="A9" s="5" t="inlineStr">
        <is>
          <t>Separadores plásticos tipo caluga para malla (4 un/m2)</t>
        </is>
      </c>
      <c r="B9" s="6" t="inlineStr">
        <is>
          <t>un</t>
        </is>
      </c>
      <c r="C9" s="7" t="n">
        <v>27</v>
      </c>
      <c r="D9" s="8" t="n">
        <v>95</v>
      </c>
      <c r="E9" s="8">
        <f>C9*D9</f>
        <v/>
      </c>
      <c r="F9" s="5" t="inlineStr">
        <is>
          <t>Prodalam Chile Enero 2026</t>
        </is>
      </c>
      <c r="G9" s="5" t="inlineStr">
        <is>
          <t>Asegura recubrimiento inferior de 3 cm</t>
        </is>
      </c>
    </row>
    <row r="10">
      <c r="A10" s="5" t="inlineStr">
        <is>
          <t>Líquido de curado químico de hormigón (membrana anti-evaporación)</t>
        </is>
      </c>
      <c r="B10" s="6" t="inlineStr">
        <is>
          <t>lt</t>
        </is>
      </c>
      <c r="C10" s="7" t="n">
        <v>1.4</v>
      </c>
      <c r="D10" s="8" t="n">
        <v>2800</v>
      </c>
      <c r="E10" s="8">
        <f>C10*D10</f>
        <v/>
      </c>
      <c r="F10" s="5" t="inlineStr">
        <is>
          <t>Sika Antisol / Cave Enero 2026</t>
        </is>
      </c>
      <c r="G10" s="5" t="inlineStr">
        <is>
          <t>Dosificación 0,20 lt/m2 aplicado con pulverizador</t>
        </is>
      </c>
    </row>
    <row r="11">
      <c r="A11" s="5" t="inlineStr">
        <is>
          <t>Sello elastomérico de poliuretano para juntas de dilatación y corte</t>
        </is>
      </c>
      <c r="B11" s="6" t="inlineStr">
        <is>
          <t>ml</t>
        </is>
      </c>
      <c r="C11" s="7" t="n">
        <v>2.2</v>
      </c>
      <c r="D11" s="8" t="n">
        <v>3200</v>
      </c>
      <c r="E11" s="8">
        <f>C11*D11</f>
        <v/>
      </c>
      <c r="F11" s="5" t="inlineStr">
        <is>
          <t>Sikaflex 11FC / Dureflex Enero 2026</t>
        </is>
      </c>
      <c r="G11" s="5" t="inlineStr">
        <is>
          <t>Juntas aserradas cada 4x4 m con cordón de respaldo</t>
        </is>
      </c>
    </row>
    <row r="12">
      <c r="A12" s="9" t="inlineStr">
        <is>
          <t>SUBTOTAL MATERIALES</t>
        </is>
      </c>
      <c r="B12" s="10" t="n"/>
      <c r="C12" s="10" t="n"/>
      <c r="D12" s="10" t="n"/>
      <c r="E12" s="11">
        <f>SUM(E6:E11)</f>
        <v/>
      </c>
      <c r="F12" s="10" t="n"/>
      <c r="G12" s="10" t="n"/>
    </row>
    <row r="14" ht="18" customHeight="1">
      <c r="A14" s="4" t="inlineStr">
        <is>
          <t>2. MANO DE OBRA (Factor Leyes Sociales FAS = 32%)</t>
        </is>
      </c>
    </row>
    <row r="15">
      <c r="A15" s="5" t="inlineStr">
        <is>
          <t>Capataz de hormigones y pavimentación</t>
        </is>
      </c>
      <c r="B15" s="6" t="inlineStr">
        <is>
          <t>HH</t>
        </is>
      </c>
      <c r="C15" s="7" t="n">
        <v>0.18</v>
      </c>
      <c r="D15" s="8" t="n">
        <v>6800</v>
      </c>
      <c r="E15" s="8">
        <f>C15*D15*(1+0.32)</f>
        <v/>
      </c>
      <c r="F15" s="5" t="inlineStr">
        <is>
          <t>Manual ONDAC CA/00223 / CChC Enero 2026</t>
        </is>
      </c>
      <c r="G15" s="5" t="inlineStr">
        <is>
          <t>Supervisión de niveles, pendientes y colada</t>
        </is>
      </c>
    </row>
    <row r="16">
      <c r="A16" s="5" t="inlineStr">
        <is>
          <t>Maestro Mayor Concretero</t>
        </is>
      </c>
      <c r="B16" s="6" t="inlineStr">
        <is>
          <t>HH</t>
        </is>
      </c>
      <c r="C16" s="7" t="n">
        <v>0.45</v>
      </c>
      <c r="D16" s="8" t="n">
        <v>5500</v>
      </c>
      <c r="E16" s="8">
        <f>C16*D16*(1+0.32)</f>
        <v/>
      </c>
      <c r="F16" s="5" t="inlineStr">
        <is>
          <t>Manual ONDAC Mano de Obra Enero 2026</t>
        </is>
      </c>
      <c r="G16" s="5" t="inlineStr">
        <is>
          <t>Operación de regla vibratoria y control de vibrado</t>
        </is>
      </c>
    </row>
    <row r="17">
      <c r="A17" s="5" t="inlineStr">
        <is>
          <t>Maestro Platachador / Alisador de piso</t>
        </is>
      </c>
      <c r="B17" s="6" t="inlineStr">
        <is>
          <t>HH</t>
        </is>
      </c>
      <c r="C17" s="7" t="n">
        <v>0.5</v>
      </c>
      <c r="D17" s="8" t="n">
        <v>5400</v>
      </c>
      <c r="E17" s="8">
        <f>C17*D17*(1+0.32)</f>
        <v/>
      </c>
      <c r="F17" s="5" t="inlineStr">
        <is>
          <t>Manual ONDAC Mano de Obra Enero 2026</t>
        </is>
      </c>
      <c r="G17" s="5" t="inlineStr">
        <is>
          <t>Operación de alisadoras mecánicas rotativas (helicópteros)</t>
        </is>
      </c>
    </row>
    <row r="18">
      <c r="A18" s="5" t="inlineStr">
        <is>
          <t>Jornal de hormigonado</t>
        </is>
      </c>
      <c r="B18" s="6" t="inlineStr">
        <is>
          <t>HH</t>
        </is>
      </c>
      <c r="C18" s="7" t="n">
        <v>1.2</v>
      </c>
      <c r="D18" s="8" t="n">
        <v>3800</v>
      </c>
      <c r="E18" s="8">
        <f>C18*D18*(1+0.32)</f>
        <v/>
      </c>
      <c r="F18" s="5" t="inlineStr">
        <is>
          <t>Manual ONDAC Mano de Obra Enero 2026</t>
        </is>
      </c>
      <c r="G18" s="5" t="inlineStr">
        <is>
          <t>Esparcido de hormigón, colocación de malla y curado</t>
        </is>
      </c>
    </row>
    <row r="19">
      <c r="A19" s="9" t="inlineStr">
        <is>
          <t>SUBTOTAL MANO DE OBRA (CON LEYES SOCIALES)</t>
        </is>
      </c>
      <c r="B19" s="10" t="n"/>
      <c r="C19" s="10" t="n"/>
      <c r="D19" s="10" t="n"/>
      <c r="E19" s="11">
        <f>SUM(E15:E18)</f>
        <v/>
      </c>
      <c r="F19" s="10" t="n"/>
      <c r="G19" s="10" t="n"/>
    </row>
    <row r="21" ht="18" customHeight="1">
      <c r="A21" s="4" t="inlineStr">
        <is>
          <t>3. MAQUINARIA, EQUIPOS Y HERRAMIENTAS</t>
        </is>
      </c>
    </row>
    <row r="22">
      <c r="A22" s="5" t="inlineStr">
        <is>
          <t>Servicio de Bomba de Hormigón Pluma (camión bomba)</t>
        </is>
      </c>
      <c r="B22" s="6" t="inlineStr">
        <is>
          <t>m3</t>
        </is>
      </c>
      <c r="C22" s="7" t="n">
        <v>1</v>
      </c>
      <c r="D22" s="8" t="n">
        <v>14000</v>
      </c>
      <c r="E22" s="8">
        <f>C22*D22</f>
        <v/>
      </c>
      <c r="F22" s="5" t="inlineStr">
        <is>
          <t>Obrahub / Transmix Chile Enero 2026</t>
        </is>
      </c>
      <c r="G22" s="5" t="inlineStr">
        <is>
          <t>Bombeo continuo a distancia en nave de bodegas</t>
        </is>
      </c>
    </row>
    <row r="23">
      <c r="A23" s="5" t="inlineStr">
        <is>
          <t>Regla vibratoria de superficie para hormigón</t>
        </is>
      </c>
      <c r="B23" s="6" t="inlineStr">
        <is>
          <t>HM</t>
        </is>
      </c>
      <c r="C23" s="7" t="n">
        <v>0.15</v>
      </c>
      <c r="D23" s="8" t="n">
        <v>4500</v>
      </c>
      <c r="E23" s="8">
        <f>C23*D23</f>
        <v/>
      </c>
      <c r="F23" s="5" t="inlineStr">
        <is>
          <t>Arriendo maquinarias Loxam / CYPE</t>
        </is>
      </c>
      <c r="G23" s="5" t="inlineStr">
        <is>
          <t>Nivelación y vibrado superficial del paño</t>
        </is>
      </c>
    </row>
    <row r="24">
      <c r="A24" s="5" t="inlineStr">
        <is>
          <t>Alisadora mecánica doble / helicóptero alisador</t>
        </is>
      </c>
      <c r="B24" s="6" t="inlineStr">
        <is>
          <t>HM</t>
        </is>
      </c>
      <c r="C24" s="7" t="n">
        <v>0.35</v>
      </c>
      <c r="D24" s="8" t="n">
        <v>6200</v>
      </c>
      <c r="E24" s="8">
        <f>C24*D24</f>
        <v/>
      </c>
      <c r="F24" s="5" t="inlineStr">
        <is>
          <t>Arriendo maquinarias Loxam / ONDAC</t>
        </is>
      </c>
      <c r="G24" s="5" t="inlineStr">
        <is>
          <t>Terminación pulida espejo antipolvo para bodegas industriales</t>
        </is>
      </c>
    </row>
    <row r="25">
      <c r="A25" s="5" t="inlineStr">
        <is>
          <t>Cortadora de juntas de pavimento con disco diamantado</t>
        </is>
      </c>
      <c r="B25" s="6" t="inlineStr">
        <is>
          <t>ml</t>
        </is>
      </c>
      <c r="C25" s="7" t="n">
        <v>2.2</v>
      </c>
      <c r="D25" s="8" t="n">
        <v>850</v>
      </c>
      <c r="E25" s="8">
        <f>C25*D25</f>
        <v/>
      </c>
      <c r="F25" s="5" t="inlineStr">
        <is>
          <t>CYPE mq06cor020 Enero 2026</t>
        </is>
      </c>
      <c r="G25" s="5" t="inlineStr">
        <is>
          <t>Corte de retracción antes de las 24 horas</t>
        </is>
      </c>
    </row>
    <row r="26">
      <c r="A26" s="5" t="inlineStr">
        <is>
          <t>Herramientas menores (4% de la Mano de Obra)</t>
        </is>
      </c>
      <c r="B26" s="6" t="inlineStr">
        <is>
          <t>%</t>
        </is>
      </c>
      <c r="C26" s="12" t="n">
        <v>0.04</v>
      </c>
      <c r="D26" s="8">
        <f>E19</f>
        <v/>
      </c>
      <c r="E26" s="8">
        <f>C26*D26</f>
        <v/>
      </c>
      <c r="F26" s="5" t="inlineStr">
        <is>
          <t>Práctica usual edificación CChC</t>
        </is>
      </c>
      <c r="G26" s="5" t="inlineStr">
        <is>
          <t>Desgaste menor de palas, carretillas, llanas, vibradores de mano</t>
        </is>
      </c>
    </row>
    <row r="27">
      <c r="A27" s="9" t="inlineStr">
        <is>
          <t>SUBTOTAL MAQUINARIA Y EQUIPOS</t>
        </is>
      </c>
      <c r="B27" s="10" t="n"/>
      <c r="C27" s="10" t="n"/>
      <c r="D27" s="10" t="n"/>
      <c r="E27" s="11">
        <f>SUM(E22:E26)</f>
        <v/>
      </c>
      <c r="F27" s="10" t="n"/>
      <c r="G27" s="10" t="n"/>
    </row>
    <row r="29">
      <c r="A29" s="13" t="inlineStr">
        <is>
          <t>A. COSTO DIRECTO UNITARIO (CD = Mat + MO + Eq)</t>
        </is>
      </c>
      <c r="B29" s="14" t="n"/>
      <c r="C29" s="14" t="n"/>
      <c r="D29" s="14" t="n"/>
      <c r="E29" s="15">
        <f>E12+E19+E27</f>
        <v/>
      </c>
      <c r="F29" s="14" t="n"/>
      <c r="G29" s="14" t="n"/>
    </row>
    <row r="30">
      <c r="A30" s="16" t="inlineStr">
        <is>
          <t>B. GASTOS GENERALES (15.27% de Costo Directo según 18 ítems analizados)</t>
        </is>
      </c>
      <c r="B30" s="17" t="n"/>
      <c r="C30" s="17" t="n"/>
      <c r="D30" s="17" t="n"/>
      <c r="E30" s="18">
        <f>E29*0.1527</f>
        <v/>
      </c>
      <c r="F30" s="17" t="n"/>
      <c r="G30" s="17" t="n"/>
    </row>
    <row r="31">
      <c r="A31" s="16" t="inlineStr">
        <is>
          <t>C. UTILIDAD CONTRATISTA (9.00% de Costo Directo)</t>
        </is>
      </c>
      <c r="B31" s="17" t="n"/>
      <c r="C31" s="17" t="n"/>
      <c r="D31" s="17" t="n"/>
      <c r="E31" s="18">
        <f>E29*0.09</f>
        <v/>
      </c>
      <c r="F31" s="17" t="n"/>
      <c r="G31" s="17" t="n"/>
    </row>
    <row r="32">
      <c r="A32" s="19" t="inlineStr">
        <is>
          <t>PRECIO UNITARIO TOTAL DE VENTA (CD + GG + Utilidad, sin IVA)</t>
        </is>
      </c>
      <c r="B32" s="20" t="n"/>
      <c r="C32" s="20" t="n"/>
      <c r="D32" s="20" t="n"/>
      <c r="E32" s="21">
        <f>E29+E30+E31</f>
        <v/>
      </c>
      <c r="F32" s="20" t="n"/>
      <c r="G32" s="20" t="n"/>
    </row>
    <row r="33">
      <c r="A33" s="22" t="inlineStr">
        <is>
          <t>MONTO TOTAL PARTIDA GRUPO 7 (2,403 m3 × PU Venta)</t>
        </is>
      </c>
      <c r="B33" s="17" t="n"/>
      <c r="C33" s="17" t="n"/>
      <c r="D33" s="17" t="n"/>
      <c r="E33" s="23">
        <f>2403*E32</f>
        <v/>
      </c>
      <c r="F33" s="17" t="n"/>
      <c r="G33" s="17" t="n"/>
    </row>
  </sheetData>
  <mergeCells count="13">
    <mergeCell ref="A14:G14"/>
    <mergeCell ref="A27:D27"/>
    <mergeCell ref="A1:G1"/>
    <mergeCell ref="A31:D31"/>
    <mergeCell ref="A12:D12"/>
    <mergeCell ref="A21:G21"/>
    <mergeCell ref="A30:D30"/>
    <mergeCell ref="A29:D29"/>
    <mergeCell ref="A2:G2"/>
    <mergeCell ref="A19:D19"/>
    <mergeCell ref="A33:D33"/>
    <mergeCell ref="A32:D3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18" customWidth="1" min="4" max="4"/>
    <col width="18" customWidth="1" min="5" max="5"/>
    <col width="35" customWidth="1" min="6" max="6"/>
    <col width="45" customWidth="1" min="7" max="7"/>
  </cols>
  <sheetData>
    <row r="1" ht="24" customHeight="1">
      <c r="A1" s="1" t="inlineStr">
        <is>
          <t>ANÁLISIS DE PRECIOS UNITARIOS (APU) DETALLADO — ÍTEM 1.19</t>
        </is>
      </c>
    </row>
    <row r="2" ht="18" customHeight="1">
      <c r="A2" s="2" t="inlineStr">
        <is>
          <t>Proyecto: Bodegas BSL Quilicura | Partida: Hormigón G-25 Pedestales Galpones y Oficinas | Unidad: m3 | Cantidad G7: 82 m3 | Fecha Base: Enero 2026</t>
        </is>
      </c>
    </row>
    <row r="4" ht="22" customHeight="1">
      <c r="A4" s="3" t="inlineStr">
        <is>
          <t>Descripción del Recurso / Insumo</t>
        </is>
      </c>
      <c r="B4" s="3" t="inlineStr">
        <is>
          <t>Unidad</t>
        </is>
      </c>
      <c r="C4" s="3" t="inlineStr">
        <is>
          <t>Cantidad Unit.</t>
        </is>
      </c>
      <c r="D4" s="3" t="inlineStr">
        <is>
          <t>Precio Unitario ($)</t>
        </is>
      </c>
      <c r="E4" s="3" t="inlineStr">
        <is>
          <t>Subtotal ($)</t>
        </is>
      </c>
      <c r="F4" s="3" t="inlineStr">
        <is>
          <t>Fuente Demostrable</t>
        </is>
      </c>
      <c r="G4" s="3" t="inlineStr">
        <is>
          <t>Observaciones Técnicas</t>
        </is>
      </c>
    </row>
    <row r="5" ht="18" customHeight="1">
      <c r="A5" s="4" t="inlineStr">
        <is>
          <t>1. MATERIALES (con mermas y pérdidas)</t>
        </is>
      </c>
    </row>
    <row r="6">
      <c r="A6" s="5" t="inlineStr">
        <is>
          <t>Hormigón premezclado G-25 (cono 10-12 cm, árido 3/4")</t>
        </is>
      </c>
      <c r="B6" s="6" t="inlineStr">
        <is>
          <t>m3</t>
        </is>
      </c>
      <c r="C6" s="7" t="n">
        <v>1.06</v>
      </c>
      <c r="D6" s="8" t="n">
        <v>99500</v>
      </c>
      <c r="E6" s="8">
        <f>C6*D6</f>
        <v/>
      </c>
      <c r="F6" s="5" t="inlineStr">
        <is>
          <t>Polpaico / Melón Enero 2026</t>
        </is>
      </c>
      <c r="G6" s="5" t="inlineStr">
        <is>
          <t>Hormigón estructural para elementos verticales densamente armados</t>
        </is>
      </c>
    </row>
    <row r="7">
      <c r="A7" s="5" t="inlineStr">
        <is>
          <t>Moldaje metálico de 4 caras para pedestales (arriendo y amortización)</t>
        </is>
      </c>
      <c r="B7" s="6" t="inlineStr">
        <is>
          <t>m2</t>
        </is>
      </c>
      <c r="C7" s="7" t="n">
        <v>8.5</v>
      </c>
      <c r="D7" s="8" t="n">
        <v>4200</v>
      </c>
      <c r="E7" s="8">
        <f>C7*D7</f>
        <v/>
      </c>
      <c r="F7" s="5" t="inlineStr">
        <is>
          <t>Peri / Ulma Chile Enero 2026</t>
        </is>
      </c>
      <c r="G7" s="5" t="inlineStr">
        <is>
          <t>Pedestales esbeltos 0,5x0,5 m; 8,5 m2 de moldaje por m3 de hormigón</t>
        </is>
      </c>
    </row>
    <row r="8">
      <c r="A8" s="5" t="inlineStr">
        <is>
          <t>Líquido desmoldante para moldaje metálico</t>
        </is>
      </c>
      <c r="B8" s="6" t="inlineStr">
        <is>
          <t>lt</t>
        </is>
      </c>
      <c r="C8" s="7" t="n">
        <v>0.85</v>
      </c>
      <c r="D8" s="8" t="n">
        <v>3200</v>
      </c>
      <c r="E8" s="8">
        <f>C8*D8</f>
        <v/>
      </c>
      <c r="F8" s="5" t="inlineStr">
        <is>
          <t>Sika Desmoldante Enero 2026</t>
        </is>
      </c>
      <c r="G8" s="5" t="inlineStr">
        <is>
          <t>Rendimiento 10 m2 por litro</t>
        </is>
      </c>
    </row>
    <row r="9">
      <c r="A9" s="5" t="inlineStr">
        <is>
          <t>Pernos de anclaje A36 alta resistencia para pilares metálicos (4 un/pedestal)</t>
        </is>
      </c>
      <c r="B9" s="6" t="inlineStr">
        <is>
          <t>un</t>
        </is>
      </c>
      <c r="C9" s="7" t="n">
        <v>4</v>
      </c>
      <c r="D9" s="8" t="n">
        <v>5800</v>
      </c>
      <c r="E9" s="8">
        <f>C9*D9</f>
        <v/>
      </c>
      <c r="F9" s="5" t="inlineStr">
        <is>
          <t>Catálogo Estructuras Metálicas ICHA / Prodalam</t>
        </is>
      </c>
      <c r="G9" s="5" t="inlineStr">
        <is>
          <t>Fijación con plantilla metálica de replanteo</t>
        </is>
      </c>
    </row>
    <row r="10">
      <c r="A10" s="5" t="inlineStr">
        <is>
          <t>Agente de curado de hormigón y polietileno de protección</t>
        </is>
      </c>
      <c r="B10" s="6" t="inlineStr">
        <is>
          <t>gl</t>
        </is>
      </c>
      <c r="C10" s="7" t="n">
        <v>1</v>
      </c>
      <c r="D10" s="8" t="n">
        <v>3500</v>
      </c>
      <c r="E10" s="8">
        <f>C10*D10</f>
        <v/>
      </c>
      <c r="F10" s="5" t="inlineStr">
        <is>
          <t>Sika Antisol</t>
        </is>
      </c>
      <c r="G10" s="5" t="inlineStr">
        <is>
          <t>Curado húmedo por 7 días mínimos</t>
        </is>
      </c>
    </row>
    <row r="11">
      <c r="A11" s="9" t="inlineStr">
        <is>
          <t>SUBTOTAL MATERIALES</t>
        </is>
      </c>
      <c r="B11" s="10" t="n"/>
      <c r="C11" s="10" t="n"/>
      <c r="D11" s="10" t="n"/>
      <c r="E11" s="11">
        <f>SUM(E6:E10)</f>
        <v/>
      </c>
      <c r="F11" s="10" t="n"/>
      <c r="G11" s="10" t="n"/>
    </row>
    <row r="13" ht="18" customHeight="1">
      <c r="A13" s="4" t="inlineStr">
        <is>
          <t>2. MANO DE OBRA (Factor Leyes Sociales FAS = 32%)</t>
        </is>
      </c>
    </row>
    <row r="14">
      <c r="A14" s="5" t="inlineStr">
        <is>
          <t>Capataz de estructuras de hormigón armado</t>
        </is>
      </c>
      <c r="B14" s="6" t="inlineStr">
        <is>
          <t>HH</t>
        </is>
      </c>
      <c r="C14" s="7" t="n">
        <v>0.4</v>
      </c>
      <c r="D14" s="8" t="n">
        <v>6800</v>
      </c>
      <c r="E14" s="8">
        <f>C14*D14*(1+0.32)</f>
        <v/>
      </c>
      <c r="F14" s="5" t="inlineStr">
        <is>
          <t>Manual ONDAC CA/00223 Enero 2026</t>
        </is>
      </c>
      <c r="G14" s="5" t="inlineStr">
        <is>
          <t>Control de verticalidad, aplomado y cotas de pernos</t>
        </is>
      </c>
    </row>
    <row r="15">
      <c r="A15" s="5" t="inlineStr">
        <is>
          <t>Maestro Mayor Carpintero de Moldajes</t>
        </is>
      </c>
      <c r="B15" s="6" t="inlineStr">
        <is>
          <t>HH</t>
        </is>
      </c>
      <c r="C15" s="7" t="n">
        <v>1.8</v>
      </c>
      <c r="D15" s="8" t="n">
        <v>5500</v>
      </c>
      <c r="E15" s="8">
        <f>C15*D15*(1+0.32)</f>
        <v/>
      </c>
      <c r="F15" s="5" t="inlineStr">
        <is>
          <t>Manual ONDAC Mano de Obra Enero 2026</t>
        </is>
      </c>
      <c r="G15" s="5" t="inlineStr">
        <is>
          <t>Armado, arriostramiento de 4 caras y desmolde</t>
        </is>
      </c>
    </row>
    <row r="16">
      <c r="A16" s="5" t="inlineStr">
        <is>
          <t>Maestro Concretero</t>
        </is>
      </c>
      <c r="B16" s="6" t="inlineStr">
        <is>
          <t>HH</t>
        </is>
      </c>
      <c r="C16" s="7" t="n">
        <v>0.8</v>
      </c>
      <c r="D16" s="8" t="n">
        <v>5400</v>
      </c>
      <c r="E16" s="8">
        <f>C16*D16*(1+0.32)</f>
        <v/>
      </c>
      <c r="F16" s="5" t="inlineStr">
        <is>
          <t>Manual ONDAC Mano de Obra Enero 2026</t>
        </is>
      </c>
      <c r="G16" s="5" t="inlineStr">
        <is>
          <t>Vaciado cuidadoso por capas y vibrado interno</t>
        </is>
      </c>
    </row>
    <row r="17">
      <c r="A17" s="5" t="inlineStr">
        <is>
          <t>Jornal de apoyo</t>
        </is>
      </c>
      <c r="B17" s="6" t="inlineStr">
        <is>
          <t>HH</t>
        </is>
      </c>
      <c r="C17" s="7" t="n">
        <v>1.5</v>
      </c>
      <c r="D17" s="8" t="n">
        <v>3800</v>
      </c>
      <c r="E17" s="8">
        <f>C17*D17*(1+0.32)</f>
        <v/>
      </c>
      <c r="F17" s="5" t="inlineStr">
        <is>
          <t>Manual ONDAC Mano de Obra Enero 2026</t>
        </is>
      </c>
      <c r="G17" s="5" t="inlineStr">
        <is>
          <t>Acarreo, limpieza de moldajes y aplicación de desmoldante</t>
        </is>
      </c>
    </row>
    <row r="18">
      <c r="A18" s="9" t="inlineStr">
        <is>
          <t>SUBTOTAL MANO DE OBRA (CON LEYES SOCIALES)</t>
        </is>
      </c>
      <c r="B18" s="10" t="n"/>
      <c r="C18" s="10" t="n"/>
      <c r="D18" s="10" t="n"/>
      <c r="E18" s="11">
        <f>SUM(E14:E17)</f>
        <v/>
      </c>
      <c r="F18" s="10" t="n"/>
      <c r="G18" s="10" t="n"/>
    </row>
    <row r="20" ht="18" customHeight="1">
      <c r="A20" s="4" t="inlineStr">
        <is>
          <t>3. MAQUINARIA, EQUIPOS Y HERRAMIENTAS</t>
        </is>
      </c>
    </row>
    <row r="21">
      <c r="A21" s="5" t="inlineStr">
        <is>
          <t>Camión Bomba de hormigón con manguerote flexible</t>
        </is>
      </c>
      <c r="B21" s="6" t="inlineStr">
        <is>
          <t>m3</t>
        </is>
      </c>
      <c r="C21" s="7" t="n">
        <v>1</v>
      </c>
      <c r="D21" s="8" t="n">
        <v>14000</v>
      </c>
      <c r="E21" s="8">
        <f>C21*D21</f>
        <v/>
      </c>
      <c r="F21" s="5" t="inlineStr">
        <is>
          <t>Obrahub / Transmix Enero 2026</t>
        </is>
      </c>
      <c r="G21" s="5" t="inlineStr">
        <is>
          <t>Colocación controlada para evitar segregación</t>
        </is>
      </c>
    </row>
    <row r="22">
      <c r="A22" s="5" t="inlineStr">
        <is>
          <t>Vibrador de inmersión de alta frecuencia (aguja 38 mm)</t>
        </is>
      </c>
      <c r="B22" s="6" t="inlineStr">
        <is>
          <t>HM</t>
        </is>
      </c>
      <c r="C22" s="7" t="n">
        <v>0.6</v>
      </c>
      <c r="D22" s="8" t="n">
        <v>4200</v>
      </c>
      <c r="E22" s="8">
        <f>C22*D22</f>
        <v/>
      </c>
      <c r="F22" s="5" t="inlineStr">
        <is>
          <t>Arriendo Loxam / ONDAC</t>
        </is>
      </c>
      <c r="G22" s="5" t="inlineStr">
        <is>
          <t>Vibrado enérgico entre armaduras densas</t>
        </is>
      </c>
    </row>
    <row r="23">
      <c r="A23" s="5" t="inlineStr">
        <is>
          <t>Andamios perimetrales de vaciado y trabajo seguro</t>
        </is>
      </c>
      <c r="B23" s="6" t="inlineStr">
        <is>
          <t>m2/día</t>
        </is>
      </c>
      <c r="C23" s="7" t="n">
        <v>4</v>
      </c>
      <c r="D23" s="8" t="n">
        <v>1200</v>
      </c>
      <c r="E23" s="8">
        <f>C23*D23</f>
        <v/>
      </c>
      <c r="F23" s="5" t="inlineStr">
        <is>
          <t>Layher / Ulma Chile</t>
        </is>
      </c>
      <c r="G23" s="5" t="inlineStr">
        <is>
          <t>Plataforma de trabajo para hormigonado de pedestales h=1,5 m</t>
        </is>
      </c>
    </row>
    <row r="24">
      <c r="A24" s="5" t="inlineStr">
        <is>
          <t>Herramientas menores (4% de la Mano de Obra)</t>
        </is>
      </c>
      <c r="B24" s="6" t="inlineStr">
        <is>
          <t>%</t>
        </is>
      </c>
      <c r="C24" s="12" t="n">
        <v>0.04</v>
      </c>
      <c r="D24" s="8">
        <f>E18</f>
        <v/>
      </c>
      <c r="E24" s="8">
        <f>C24*D24</f>
        <v/>
      </c>
      <c r="F24" s="5" t="inlineStr">
        <is>
          <t>Práctica usual edificación CChC</t>
        </is>
      </c>
      <c r="G24" s="5" t="inlineStr">
        <is>
          <t>Desgaste menor de palas, carretillas, llanas, vibradores de mano</t>
        </is>
      </c>
    </row>
    <row r="25">
      <c r="A25" s="9" t="inlineStr">
        <is>
          <t>SUBTOTAL MAQUINARIA Y EQUIPOS</t>
        </is>
      </c>
      <c r="B25" s="10" t="n"/>
      <c r="C25" s="10" t="n"/>
      <c r="D25" s="10" t="n"/>
      <c r="E25" s="11">
        <f>SUM(E21:E24)</f>
        <v/>
      </c>
      <c r="F25" s="10" t="n"/>
      <c r="G25" s="10" t="n"/>
    </row>
    <row r="27">
      <c r="A27" s="13" t="inlineStr">
        <is>
          <t>A. COSTO DIRECTO UNITARIO (CD = Mat + MO + Eq)</t>
        </is>
      </c>
      <c r="B27" s="14" t="n"/>
      <c r="C27" s="14" t="n"/>
      <c r="D27" s="14" t="n"/>
      <c r="E27" s="15">
        <f>E11+E18+E25</f>
        <v/>
      </c>
      <c r="F27" s="14" t="n"/>
      <c r="G27" s="14" t="n"/>
    </row>
    <row r="28">
      <c r="A28" s="16" t="inlineStr">
        <is>
          <t>B. GASTOS GENERALES (15.27% de Costo Directo según 18 ítems analizados)</t>
        </is>
      </c>
      <c r="B28" s="17" t="n"/>
      <c r="C28" s="17" t="n"/>
      <c r="D28" s="17" t="n"/>
      <c r="E28" s="18">
        <f>E27*0.1527</f>
        <v/>
      </c>
      <c r="F28" s="17" t="n"/>
      <c r="G28" s="17" t="n"/>
    </row>
    <row r="29">
      <c r="A29" s="16" t="inlineStr">
        <is>
          <t>C. UTILIDAD CONTRATISTA (9.00% de Costo Directo)</t>
        </is>
      </c>
      <c r="B29" s="17" t="n"/>
      <c r="C29" s="17" t="n"/>
      <c r="D29" s="17" t="n"/>
      <c r="E29" s="18">
        <f>E27*0.09</f>
        <v/>
      </c>
      <c r="F29" s="17" t="n"/>
      <c r="G29" s="17" t="n"/>
    </row>
    <row r="30">
      <c r="A30" s="19" t="inlineStr">
        <is>
          <t>PRECIO UNITARIO TOTAL DE VENTA (CD + GG + Utilidad, sin IVA)</t>
        </is>
      </c>
      <c r="B30" s="20" t="n"/>
      <c r="C30" s="20" t="n"/>
      <c r="D30" s="20" t="n"/>
      <c r="E30" s="21">
        <f>E27+E28+E29</f>
        <v/>
      </c>
      <c r="F30" s="20" t="n"/>
      <c r="G30" s="20" t="n"/>
    </row>
    <row r="31">
      <c r="A31" s="22" t="inlineStr">
        <is>
          <t>MONTO TOTAL PARTIDA GRUPO 7 (82 m3 × PU Venta)</t>
        </is>
      </c>
      <c r="B31" s="17" t="n"/>
      <c r="C31" s="17" t="n"/>
      <c r="D31" s="17" t="n"/>
      <c r="E31" s="23">
        <f>82*E30</f>
        <v/>
      </c>
      <c r="F31" s="17" t="n"/>
      <c r="G31" s="17" t="n"/>
    </row>
  </sheetData>
  <mergeCells count="13">
    <mergeCell ref="A13:G13"/>
    <mergeCell ref="A18:D18"/>
    <mergeCell ref="A27:D27"/>
    <mergeCell ref="A1:G1"/>
    <mergeCell ref="A31:D31"/>
    <mergeCell ref="A30:D30"/>
    <mergeCell ref="A20:G20"/>
    <mergeCell ref="A29:D29"/>
    <mergeCell ref="A2:G2"/>
    <mergeCell ref="A25:D25"/>
    <mergeCell ref="A11:D11"/>
    <mergeCell ref="A28:D28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18" customWidth="1" min="4" max="4"/>
    <col width="18" customWidth="1" min="5" max="5"/>
    <col width="35" customWidth="1" min="6" max="6"/>
    <col width="45" customWidth="1" min="7" max="7"/>
  </cols>
  <sheetData>
    <row r="1" ht="24" customHeight="1">
      <c r="A1" s="1" t="inlineStr">
        <is>
          <t>ANÁLISIS DE PRECIOS UNITARIOS (APU) DETALLADO — ÍTEM 1.26</t>
        </is>
      </c>
    </row>
    <row r="2" ht="18" customHeight="1">
      <c r="A2" s="2" t="inlineStr">
        <is>
          <t>Proyecto: Bodegas BSL Quilicura | Partida: Remoción de Soleras | Unidad: m | Cantidad G7: 45 m | Fecha Base: Enero 2026</t>
        </is>
      </c>
    </row>
    <row r="4" ht="22" customHeight="1">
      <c r="A4" s="3" t="inlineStr">
        <is>
          <t>Descripción del Recurso / Insumo</t>
        </is>
      </c>
      <c r="B4" s="3" t="inlineStr">
        <is>
          <t>Unidad</t>
        </is>
      </c>
      <c r="C4" s="3" t="inlineStr">
        <is>
          <t>Cantidad Unit.</t>
        </is>
      </c>
      <c r="D4" s="3" t="inlineStr">
        <is>
          <t>Precio Unitario ($)</t>
        </is>
      </c>
      <c r="E4" s="3" t="inlineStr">
        <is>
          <t>Subtotal ($)</t>
        </is>
      </c>
      <c r="F4" s="3" t="inlineStr">
        <is>
          <t>Fuente Demostrable</t>
        </is>
      </c>
      <c r="G4" s="3" t="inlineStr">
        <is>
          <t>Observaciones Técnicas</t>
        </is>
      </c>
    </row>
    <row r="5" ht="18" customHeight="1">
      <c r="A5" s="4" t="inlineStr">
        <is>
          <t>1. MATERIALES (con mermas y pérdidas)</t>
        </is>
      </c>
    </row>
    <row r="6">
      <c r="A6" s="5" t="inlineStr">
        <is>
          <t>Disco de corte diamantado para hormigón (desgaste prorrateado)</t>
        </is>
      </c>
      <c r="B6" s="6" t="inlineStr">
        <is>
          <t>un</t>
        </is>
      </c>
      <c r="C6" s="7" t="n">
        <v>0.04</v>
      </c>
      <c r="D6" s="8" t="n">
        <v>18500</v>
      </c>
      <c r="E6" s="8">
        <f>C6*D6</f>
        <v/>
      </c>
      <c r="F6" s="5" t="inlineStr">
        <is>
          <t>Sodimac Constructor Enero 2026</t>
        </is>
      </c>
      <c r="G6" s="5" t="inlineStr">
        <is>
          <t>Corte limpio previo a la demolición para no dañar calzada</t>
        </is>
      </c>
    </row>
    <row r="7">
      <c r="A7" s="5" t="inlineStr">
        <is>
          <t>Derechos de botadero y disposición de escombros de hormigón</t>
        </is>
      </c>
      <c r="B7" s="6" t="inlineStr">
        <is>
          <t>m3</t>
        </is>
      </c>
      <c r="C7" s="7" t="n">
        <v>0.065</v>
      </c>
      <c r="D7" s="8" t="n">
        <v>12000</v>
      </c>
      <c r="E7" s="8">
        <f>C7*D7</f>
        <v/>
      </c>
      <c r="F7" s="5" t="inlineStr">
        <is>
          <t>Onemake.ai / Botaderos autorizados RM Enero 2026</t>
        </is>
      </c>
      <c r="G7" s="5" t="inlineStr">
        <is>
          <t>Sección solera 0,16x0,30 m = 0,048 m3/m + 35% esponjamiento</t>
        </is>
      </c>
    </row>
    <row r="8">
      <c r="A8" s="9" t="inlineStr">
        <is>
          <t>SUBTOTAL MATERIALES</t>
        </is>
      </c>
      <c r="B8" s="10" t="n"/>
      <c r="C8" s="10" t="n"/>
      <c r="D8" s="10" t="n"/>
      <c r="E8" s="11">
        <f>SUM(E6:E7)</f>
        <v/>
      </c>
      <c r="F8" s="10" t="n"/>
      <c r="G8" s="10" t="n"/>
    </row>
    <row r="10" ht="18" customHeight="1">
      <c r="A10" s="4" t="inlineStr">
        <is>
          <t>2. MANO DE OBRA (Factor Leyes Sociales FAS = 32%)</t>
        </is>
      </c>
    </row>
    <row r="11">
      <c r="A11" s="5" t="inlineStr">
        <is>
          <t>Maestro especialista en demolición y corte</t>
        </is>
      </c>
      <c r="B11" s="6" t="inlineStr">
        <is>
          <t>HH</t>
        </is>
      </c>
      <c r="C11" s="7" t="n">
        <v>0.15</v>
      </c>
      <c r="D11" s="8" t="n">
        <v>5400</v>
      </c>
      <c r="E11" s="8">
        <f>C11*D11*(1+0.32)</f>
        <v/>
      </c>
      <c r="F11" s="5" t="inlineStr">
        <is>
          <t>CYPE Demoliciones Enero 2026</t>
        </is>
      </c>
      <c r="G11" s="5" t="inlineStr">
        <is>
          <t>Operación de cortadora y guiado de martillo demoledor</t>
        </is>
      </c>
    </row>
    <row r="12">
      <c r="A12" s="5" t="inlineStr">
        <is>
          <t>Jornal de apoyo y retiro de escombros</t>
        </is>
      </c>
      <c r="B12" s="6" t="inlineStr">
        <is>
          <t>HH</t>
        </is>
      </c>
      <c r="C12" s="7" t="n">
        <v>0.25</v>
      </c>
      <c r="D12" s="8" t="n">
        <v>3800</v>
      </c>
      <c r="E12" s="8">
        <f>C12*D12*(1+0.32)</f>
        <v/>
      </c>
      <c r="F12" s="5" t="inlineStr">
        <is>
          <t>Manual ONDAC Mano de Obra Enero 2026</t>
        </is>
      </c>
      <c r="G12" s="5" t="inlineStr">
        <is>
          <t>Picado manual de respaldo de hormigón y acopio para carguío</t>
        </is>
      </c>
    </row>
    <row r="13">
      <c r="A13" s="9" t="inlineStr">
        <is>
          <t>SUBTOTAL MANO DE OBRA (CON LEYES SOCIALES)</t>
        </is>
      </c>
      <c r="B13" s="10" t="n"/>
      <c r="C13" s="10" t="n"/>
      <c r="D13" s="10" t="n"/>
      <c r="E13" s="11">
        <f>SUM(E11:E12)</f>
        <v/>
      </c>
      <c r="F13" s="10" t="n"/>
      <c r="G13" s="10" t="n"/>
    </row>
    <row r="15" ht="18" customHeight="1">
      <c r="A15" s="4" t="inlineStr">
        <is>
          <t>3. MAQUINARIA, EQUIPOS Y HERRAMIENTAS</t>
        </is>
      </c>
    </row>
    <row r="16">
      <c r="A16" s="5" t="inlineStr">
        <is>
          <t>Cortadora de pavimento a combustión (disco 350 mm)</t>
        </is>
      </c>
      <c r="B16" s="6" t="inlineStr">
        <is>
          <t>HM</t>
        </is>
      </c>
      <c r="C16" s="7" t="n">
        <v>0.05</v>
      </c>
      <c r="D16" s="8" t="n">
        <v>5130</v>
      </c>
      <c r="E16" s="8">
        <f>C16*D16</f>
        <v/>
      </c>
      <c r="F16" s="5" t="inlineStr">
        <is>
          <t>CYPE mq06cor020 Enero 2026</t>
        </is>
      </c>
      <c r="G16" s="5" t="inlineStr">
        <is>
          <t>Corte perimetral en línea recta</t>
        </is>
      </c>
    </row>
    <row r="17">
      <c r="A17" s="5" t="inlineStr">
        <is>
          <t>Retroexcavadora con martillo hidráulico demoledor</t>
        </is>
      </c>
      <c r="B17" s="6" t="inlineStr">
        <is>
          <t>HM</t>
        </is>
      </c>
      <c r="C17" s="7" t="n">
        <v>0.04</v>
      </c>
      <c r="D17" s="8" t="n">
        <v>26000</v>
      </c>
      <c r="E17" s="8">
        <f>C17*D17</f>
        <v/>
      </c>
      <c r="F17" s="5" t="inlineStr">
        <is>
          <t>Arriendo Maquinaria Vial MOP / ONDAC</t>
        </is>
      </c>
      <c r="G17" s="5" t="inlineStr">
        <is>
          <t>Descalce y fracturación de soleras y empotramiento</t>
        </is>
      </c>
    </row>
    <row r="18">
      <c r="A18" s="5" t="inlineStr">
        <is>
          <t>Camión tolva 15 m3 para transporte a botadero</t>
        </is>
      </c>
      <c r="B18" s="6" t="inlineStr">
        <is>
          <t>viaje/m</t>
        </is>
      </c>
      <c r="C18" s="7" t="n">
        <v>0.005</v>
      </c>
      <c r="D18" s="8" t="n">
        <v>85000</v>
      </c>
      <c r="E18" s="8">
        <f>C18*D18</f>
        <v/>
      </c>
      <c r="F18" s="5" t="inlineStr">
        <is>
          <t>Fletes y transportes de áridos Santiago Enero 2026</t>
        </is>
      </c>
      <c r="G18" s="5" t="inlineStr">
        <is>
          <t>Flete prorrateado a botadero en Quilicura</t>
        </is>
      </c>
    </row>
    <row r="19">
      <c r="A19" s="5" t="inlineStr">
        <is>
          <t>Herramientas menores (4% de la Mano de Obra)</t>
        </is>
      </c>
      <c r="B19" s="6" t="inlineStr">
        <is>
          <t>%</t>
        </is>
      </c>
      <c r="C19" s="12" t="n">
        <v>0.04</v>
      </c>
      <c r="D19" s="8">
        <f>E13</f>
        <v/>
      </c>
      <c r="E19" s="8">
        <f>C19*D19</f>
        <v/>
      </c>
      <c r="F19" s="5" t="inlineStr">
        <is>
          <t>Práctica usual edificación CChC</t>
        </is>
      </c>
      <c r="G19" s="5" t="inlineStr">
        <is>
          <t>Desgaste menor de palas, carretillas, llanas, vibradores de mano</t>
        </is>
      </c>
    </row>
    <row r="20">
      <c r="A20" s="9" t="inlineStr">
        <is>
          <t>SUBTOTAL MAQUINARIA Y EQUIPOS</t>
        </is>
      </c>
      <c r="B20" s="10" t="n"/>
      <c r="C20" s="10" t="n"/>
      <c r="D20" s="10" t="n"/>
      <c r="E20" s="11">
        <f>SUM(E16:E19)</f>
        <v/>
      </c>
      <c r="F20" s="10" t="n"/>
      <c r="G20" s="10" t="n"/>
    </row>
    <row r="22">
      <c r="A22" s="13" t="inlineStr">
        <is>
          <t>A. COSTO DIRECTO UNITARIO (CD = Mat + MO + Eq)</t>
        </is>
      </c>
      <c r="B22" s="14" t="n"/>
      <c r="C22" s="14" t="n"/>
      <c r="D22" s="14" t="n"/>
      <c r="E22" s="15">
        <f>E8+E13+E20</f>
        <v/>
      </c>
      <c r="F22" s="14" t="n"/>
      <c r="G22" s="14" t="n"/>
    </row>
    <row r="23">
      <c r="A23" s="16" t="inlineStr">
        <is>
          <t>B. GASTOS GENERALES (15.27% de Costo Directo según 18 ítems analizados)</t>
        </is>
      </c>
      <c r="B23" s="17" t="n"/>
      <c r="C23" s="17" t="n"/>
      <c r="D23" s="17" t="n"/>
      <c r="E23" s="18">
        <f>E22*0.1527</f>
        <v/>
      </c>
      <c r="F23" s="17" t="n"/>
      <c r="G23" s="17" t="n"/>
    </row>
    <row r="24">
      <c r="A24" s="16" t="inlineStr">
        <is>
          <t>C. UTILIDAD CONTRATISTA (9.00% de Costo Directo)</t>
        </is>
      </c>
      <c r="B24" s="17" t="n"/>
      <c r="C24" s="17" t="n"/>
      <c r="D24" s="17" t="n"/>
      <c r="E24" s="18">
        <f>E22*0.09</f>
        <v/>
      </c>
      <c r="F24" s="17" t="n"/>
      <c r="G24" s="17" t="n"/>
    </row>
    <row r="25">
      <c r="A25" s="19" t="inlineStr">
        <is>
          <t>PRECIO UNITARIO TOTAL DE VENTA (CD + GG + Utilidad, sin IVA)</t>
        </is>
      </c>
      <c r="B25" s="20" t="n"/>
      <c r="C25" s="20" t="n"/>
      <c r="D25" s="20" t="n"/>
      <c r="E25" s="21">
        <f>E22+E23+E24</f>
        <v/>
      </c>
      <c r="F25" s="20" t="n"/>
      <c r="G25" s="20" t="n"/>
    </row>
    <row r="26">
      <c r="A26" s="22" t="inlineStr">
        <is>
          <t>MONTO TOTAL PARTIDA GRUPO 7 (45 m × PU Venta)</t>
        </is>
      </c>
      <c r="B26" s="17" t="n"/>
      <c r="C26" s="17" t="n"/>
      <c r="D26" s="17" t="n"/>
      <c r="E26" s="23">
        <f>45*E25</f>
        <v/>
      </c>
      <c r="F26" s="17" t="n"/>
      <c r="G26" s="17" t="n"/>
    </row>
  </sheetData>
  <mergeCells count="13">
    <mergeCell ref="A23:D23"/>
    <mergeCell ref="A8:D8"/>
    <mergeCell ref="A1:G1"/>
    <mergeCell ref="A22:D22"/>
    <mergeCell ref="A20:D20"/>
    <mergeCell ref="A26:D26"/>
    <mergeCell ref="A13:D13"/>
    <mergeCell ref="A2:G2"/>
    <mergeCell ref="A25:D25"/>
    <mergeCell ref="A15:G15"/>
    <mergeCell ref="A24:D24"/>
    <mergeCell ref="A10:G10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4" customWidth="1" min="3" max="3"/>
    <col width="18" customWidth="1" min="4" max="4"/>
    <col width="18" customWidth="1" min="5" max="5"/>
    <col width="35" customWidth="1" min="6" max="6"/>
    <col width="45" customWidth="1" min="7" max="7"/>
  </cols>
  <sheetData>
    <row r="1" ht="24" customHeight="1">
      <c r="A1" s="1" t="inlineStr">
        <is>
          <t>ANÁLISIS DE PRECIOS UNITARIOS (APU) DETALLADO — ÍTEM 2.14</t>
        </is>
      </c>
    </row>
    <row r="2" ht="18" customHeight="1">
      <c r="A2" s="2" t="inlineStr">
        <is>
          <t>Proyecto: Bodegas BSL Quilicura | Partida: Cierre perimetral Bulldog | Unidad: ml | Cantidad G7: 364 ml | Fecha Base: Enero 2026</t>
        </is>
      </c>
    </row>
    <row r="4" ht="22" customHeight="1">
      <c r="A4" s="3" t="inlineStr">
        <is>
          <t>Descripción del Recurso / Insumo</t>
        </is>
      </c>
      <c r="B4" s="3" t="inlineStr">
        <is>
          <t>Unidad</t>
        </is>
      </c>
      <c r="C4" s="3" t="inlineStr">
        <is>
          <t>Cantidad Unit.</t>
        </is>
      </c>
      <c r="D4" s="3" t="inlineStr">
        <is>
          <t>Precio Unitario ($)</t>
        </is>
      </c>
      <c r="E4" s="3" t="inlineStr">
        <is>
          <t>Subtotal ($)</t>
        </is>
      </c>
      <c r="F4" s="3" t="inlineStr">
        <is>
          <t>Fuente Demostrable</t>
        </is>
      </c>
      <c r="G4" s="3" t="inlineStr">
        <is>
          <t>Observaciones Técnicas</t>
        </is>
      </c>
    </row>
    <row r="5" ht="18" customHeight="1">
      <c r="A5" s="4" t="inlineStr">
        <is>
          <t>1. MATERIALES (con mermas y pérdidas)</t>
        </is>
      </c>
    </row>
    <row r="6">
      <c r="A6" s="5" t="inlineStr">
        <is>
          <t>Placas de hormigón vibrado Bulldog 2,00 x 0,50 x 0,04 m (4 un/ml)</t>
        </is>
      </c>
      <c r="B6" s="6" t="inlineStr">
        <is>
          <t>un</t>
        </is>
      </c>
      <c r="C6" s="7" t="n">
        <v>2.05</v>
      </c>
      <c r="D6" s="8" t="n">
        <v>9800</v>
      </c>
      <c r="E6" s="8">
        <f>C6*D6</f>
        <v/>
      </c>
      <c r="F6" s="5" t="inlineStr">
        <is>
          <t>Catálogo Cierres Bulldog / Prefabricados Grau Enero 2026</t>
        </is>
      </c>
      <c r="G6" s="5" t="inlineStr">
        <is>
          <t>2 placas por paño de 1 m de ancho para altura de 2,0 m (4 placas por cada 2 m lineales) + 2,5% merma</t>
        </is>
      </c>
    </row>
    <row r="7">
      <c r="A7" s="5" t="inlineStr">
        <is>
          <t>Postes de hormigón armado tipo H para cierre Bulldog (h=2,80 m)</t>
        </is>
      </c>
      <c r="B7" s="6" t="inlineStr">
        <is>
          <t>un</t>
        </is>
      </c>
      <c r="C7" s="7" t="n">
        <v>0.52</v>
      </c>
      <c r="D7" s="8" t="n">
        <v>14500</v>
      </c>
      <c r="E7" s="8">
        <f>C7*D7</f>
        <v/>
      </c>
      <c r="F7" s="5" t="inlineStr">
        <is>
          <t>Prefabricados de hormigón RM Enero 2026</t>
        </is>
      </c>
      <c r="G7" s="5" t="inlineStr">
        <is>
          <t>1 poste cada 2,00 metros lineales más esquinas y terminales</t>
        </is>
      </c>
    </row>
    <row r="8">
      <c r="A8" s="5" t="inlineStr">
        <is>
          <t>Hormigón H-15 (G-17) elaborado en obra para poyos de fundación de postes</t>
        </is>
      </c>
      <c r="B8" s="6" t="inlineStr">
        <is>
          <t>m3</t>
        </is>
      </c>
      <c r="C8" s="7" t="n">
        <v>0.045</v>
      </c>
      <c r="D8" s="8" t="n">
        <v>78000</v>
      </c>
      <c r="E8" s="8">
        <f>C8*D8</f>
        <v/>
      </c>
      <c r="F8" s="5" t="inlineStr">
        <is>
          <t>CYPE Hormigón en masa Enero 2026</t>
        </is>
      </c>
      <c r="G8" s="5" t="inlineStr">
        <is>
          <t>Poyo de 0,30x0,30x0,60 m por cada poste empotrado</t>
        </is>
      </c>
    </row>
    <row r="9">
      <c r="A9" s="5" t="inlineStr">
        <is>
          <t>Mortero de pega y emboquillado de junturas entre placas</t>
        </is>
      </c>
      <c r="B9" s="6" t="inlineStr">
        <is>
          <t>saco</t>
        </is>
      </c>
      <c r="C9" s="7" t="n">
        <v>0.12</v>
      </c>
      <c r="D9" s="8" t="n">
        <v>4600</v>
      </c>
      <c r="E9" s="8">
        <f>C9*D9</f>
        <v/>
      </c>
      <c r="F9" s="5" t="inlineStr">
        <is>
          <t>Cemento Polpaico / Melón Enero 2026</t>
        </is>
      </c>
      <c r="G9" s="5" t="inlineStr">
        <is>
          <t>Sello estanco entre placas prefabricadas</t>
        </is>
      </c>
    </row>
    <row r="10">
      <c r="A10" s="9" t="inlineStr">
        <is>
          <t>SUBTOTAL MATERIALES</t>
        </is>
      </c>
      <c r="B10" s="10" t="n"/>
      <c r="C10" s="10" t="n"/>
      <c r="D10" s="10" t="n"/>
      <c r="E10" s="11">
        <f>SUM(E6:E9)</f>
        <v/>
      </c>
      <c r="F10" s="10" t="n"/>
      <c r="G10" s="10" t="n"/>
    </row>
    <row r="12" ht="18" customHeight="1">
      <c r="A12" s="4" t="inlineStr">
        <is>
          <t>2. MANO DE OBRA (Factor Leyes Sociales FAS = 32%)</t>
        </is>
      </c>
    </row>
    <row r="13">
      <c r="A13" s="5" t="inlineStr">
        <is>
          <t>Capataz de cierros y obras exteriores</t>
        </is>
      </c>
      <c r="B13" s="6" t="inlineStr">
        <is>
          <t>HH</t>
        </is>
      </c>
      <c r="C13" s="7" t="n">
        <v>0.12</v>
      </c>
      <c r="D13" s="8" t="n">
        <v>6500</v>
      </c>
      <c r="E13" s="8">
        <f>C13*D13*(1+0.32)</f>
        <v/>
      </c>
      <c r="F13" s="5" t="inlineStr">
        <is>
          <t>CChC / Manual ONDAC Enero 2026</t>
        </is>
      </c>
      <c r="G13" s="5" t="inlineStr">
        <is>
          <t>Trazado, alineación y control de aplomado</t>
        </is>
      </c>
    </row>
    <row r="14">
      <c r="A14" s="5" t="inlineStr">
        <is>
          <t>Maestro Montador de Cierros Prefabricados</t>
        </is>
      </c>
      <c r="B14" s="6" t="inlineStr">
        <is>
          <t>HH</t>
        </is>
      </c>
      <c r="C14" s="7" t="n">
        <v>0.45</v>
      </c>
      <c r="D14" s="8" t="n">
        <v>5400</v>
      </c>
      <c r="E14" s="8">
        <f>C14*D14*(1+0.32)</f>
        <v/>
      </c>
      <c r="F14" s="5" t="inlineStr">
        <is>
          <t>Manual ONDAC Mano de Obra Enero 2026</t>
        </is>
      </c>
      <c r="G14" s="5" t="inlineStr">
        <is>
          <t>Montaje de postes en poyo y encajonado de placas</t>
        </is>
      </c>
    </row>
    <row r="15">
      <c r="A15" s="5" t="inlineStr">
        <is>
          <t>Jornal de faena</t>
        </is>
      </c>
      <c r="B15" s="6" t="inlineStr">
        <is>
          <t>HH</t>
        </is>
      </c>
      <c r="C15" s="7" t="n">
        <v>0.7</v>
      </c>
      <c r="D15" s="8" t="n">
        <v>3800</v>
      </c>
      <c r="E15" s="8">
        <f>C15*D15*(1+0.32)</f>
        <v/>
      </c>
      <c r="F15" s="5" t="inlineStr">
        <is>
          <t>Manual ONDAC Mano de Obra Enero 2026</t>
        </is>
      </c>
      <c r="G15" s="5" t="inlineStr">
        <is>
          <t>Excavación de hoyos, preparación de hormigón de poyo y acarreo</t>
        </is>
      </c>
    </row>
    <row r="16">
      <c r="A16" s="9" t="inlineStr">
        <is>
          <t>SUBTOTAL MANO DE OBRA (CON LEYES SOCIALES)</t>
        </is>
      </c>
      <c r="B16" s="10" t="n"/>
      <c r="C16" s="10" t="n"/>
      <c r="D16" s="10" t="n"/>
      <c r="E16" s="11">
        <f>SUM(E13:E15)</f>
        <v/>
      </c>
      <c r="F16" s="10" t="n"/>
      <c r="G16" s="10" t="n"/>
    </row>
    <row r="18" ht="18" customHeight="1">
      <c r="A18" s="4" t="inlineStr">
        <is>
          <t>3. MAQUINARIA, EQUIPOS Y HERRAMIENTAS</t>
        </is>
      </c>
    </row>
    <row r="19">
      <c r="A19" s="5" t="inlineStr">
        <is>
          <t>Ahoyadora mecánica a gasolina / miniretroexcavadora</t>
        </is>
      </c>
      <c r="B19" s="6" t="inlineStr">
        <is>
          <t>HM</t>
        </is>
      </c>
      <c r="C19" s="7" t="n">
        <v>0.08</v>
      </c>
      <c r="D19" s="8" t="n">
        <v>12500</v>
      </c>
      <c r="E19" s="8">
        <f>C19*D19</f>
        <v/>
      </c>
      <c r="F19" s="5" t="inlineStr">
        <is>
          <t>Arriendo Loxam / ONDAC Enero 2026</t>
        </is>
      </c>
      <c r="G19" s="5" t="inlineStr">
        <is>
          <t>Perforación de hoyos para empotramiento de postes</t>
        </is>
      </c>
    </row>
    <row r="20">
      <c r="A20" s="5" t="inlineStr">
        <is>
          <t>Betonera portátil de 150 lt para hormigón de poyos</t>
        </is>
      </c>
      <c r="B20" s="6" t="inlineStr">
        <is>
          <t>HM</t>
        </is>
      </c>
      <c r="C20" s="7" t="n">
        <v>0.1</v>
      </c>
      <c r="D20" s="8" t="n">
        <v>3200</v>
      </c>
      <c r="E20" s="8">
        <f>C20*D20</f>
        <v/>
      </c>
      <c r="F20" s="5" t="inlineStr">
        <is>
          <t>Arriendo herramientas Enero 2026</t>
        </is>
      </c>
      <c r="G20" s="5" t="inlineStr">
        <is>
          <t>Confección in situ de hormigón de empotramiento</t>
        </is>
      </c>
    </row>
    <row r="21">
      <c r="A21" s="5" t="inlineStr">
        <is>
          <t>Camión de flete y descarga de placas en línea de cierro</t>
        </is>
      </c>
      <c r="B21" s="6" t="inlineStr">
        <is>
          <t>ml</t>
        </is>
      </c>
      <c r="C21" s="7" t="n">
        <v>1</v>
      </c>
      <c r="D21" s="8" t="n">
        <v>2800</v>
      </c>
      <c r="E21" s="8">
        <f>C21*D21</f>
        <v/>
      </c>
      <c r="F21" s="5" t="inlineStr">
        <is>
          <t>Cotización fletes Prefabricados Quilicura</t>
        </is>
      </c>
      <c r="G21" s="5" t="inlineStr">
        <is>
          <t>Descarga a pie de obra a lo largo del perímetro</t>
        </is>
      </c>
    </row>
    <row r="22">
      <c r="A22" s="5" t="inlineStr">
        <is>
          <t>Herramientas menores (4% de la Mano de Obra)</t>
        </is>
      </c>
      <c r="B22" s="6" t="inlineStr">
        <is>
          <t>%</t>
        </is>
      </c>
      <c r="C22" s="12" t="n">
        <v>0.04</v>
      </c>
      <c r="D22" s="8">
        <f>E16</f>
        <v/>
      </c>
      <c r="E22" s="8">
        <f>C22*D22</f>
        <v/>
      </c>
      <c r="F22" s="5" t="inlineStr">
        <is>
          <t>Práctica usual edificación CChC</t>
        </is>
      </c>
      <c r="G22" s="5" t="inlineStr">
        <is>
          <t>Desgaste menor de palas, carretillas, llanas, vibradores de mano</t>
        </is>
      </c>
    </row>
    <row r="23">
      <c r="A23" s="9" t="inlineStr">
        <is>
          <t>SUBTOTAL MAQUINARIA Y EQUIPOS</t>
        </is>
      </c>
      <c r="B23" s="10" t="n"/>
      <c r="C23" s="10" t="n"/>
      <c r="D23" s="10" t="n"/>
      <c r="E23" s="11">
        <f>SUM(E19:E22)</f>
        <v/>
      </c>
      <c r="F23" s="10" t="n"/>
      <c r="G23" s="10" t="n"/>
    </row>
    <row r="25">
      <c r="A25" s="13" t="inlineStr">
        <is>
          <t>A. COSTO DIRECTO UNITARIO (CD = Mat + MO + Eq)</t>
        </is>
      </c>
      <c r="B25" s="14" t="n"/>
      <c r="C25" s="14" t="n"/>
      <c r="D25" s="14" t="n"/>
      <c r="E25" s="15">
        <f>E10+E16+E23</f>
        <v/>
      </c>
      <c r="F25" s="14" t="n"/>
      <c r="G25" s="14" t="n"/>
    </row>
    <row r="26">
      <c r="A26" s="16" t="inlineStr">
        <is>
          <t>B. GASTOS GENERALES (15.27% de Costo Directo según 18 ítems analizados)</t>
        </is>
      </c>
      <c r="B26" s="17" t="n"/>
      <c r="C26" s="17" t="n"/>
      <c r="D26" s="17" t="n"/>
      <c r="E26" s="18">
        <f>E25*0.1527</f>
        <v/>
      </c>
      <c r="F26" s="17" t="n"/>
      <c r="G26" s="17" t="n"/>
    </row>
    <row r="27">
      <c r="A27" s="16" t="inlineStr">
        <is>
          <t>C. UTILIDAD CONTRATISTA (9.00% de Costo Directo)</t>
        </is>
      </c>
      <c r="B27" s="17" t="n"/>
      <c r="C27" s="17" t="n"/>
      <c r="D27" s="17" t="n"/>
      <c r="E27" s="18">
        <f>E25*0.09</f>
        <v/>
      </c>
      <c r="F27" s="17" t="n"/>
      <c r="G27" s="17" t="n"/>
    </row>
    <row r="28">
      <c r="A28" s="19" t="inlineStr">
        <is>
          <t>PRECIO UNITARIO TOTAL DE VENTA (CD + GG + Utilidad, sin IVA)</t>
        </is>
      </c>
      <c r="B28" s="20" t="n"/>
      <c r="C28" s="20" t="n"/>
      <c r="D28" s="20" t="n"/>
      <c r="E28" s="21">
        <f>E25+E26+E27</f>
        <v/>
      </c>
      <c r="F28" s="20" t="n"/>
      <c r="G28" s="20" t="n"/>
    </row>
    <row r="29">
      <c r="A29" s="22" t="inlineStr">
        <is>
          <t>MONTO TOTAL PARTIDA GRUPO 7 (364 ml × PU Venta)</t>
        </is>
      </c>
      <c r="B29" s="17" t="n"/>
      <c r="C29" s="17" t="n"/>
      <c r="D29" s="17" t="n"/>
      <c r="E29" s="23">
        <f>364*E28</f>
        <v/>
      </c>
      <c r="F29" s="17" t="n"/>
      <c r="G29" s="17" t="n"/>
    </row>
  </sheetData>
  <mergeCells count="13">
    <mergeCell ref="A23:D23"/>
    <mergeCell ref="A27:D27"/>
    <mergeCell ref="A1:G1"/>
    <mergeCell ref="A18:G18"/>
    <mergeCell ref="A26:D26"/>
    <mergeCell ref="A12:G12"/>
    <mergeCell ref="A29:D29"/>
    <mergeCell ref="A2:G2"/>
    <mergeCell ref="A25:D25"/>
    <mergeCell ref="A16:D16"/>
    <mergeCell ref="A10:D10"/>
    <mergeCell ref="A28:D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2026-10-18T23:11:50Z</dcterms:created>
  <dcterms:modified xmlns:dcterms="http://purl.org/dc/terms/" xmlns:xsi="http://www.w3.org/2001/XMLSchema-instance" xsi:type="dcterms:W3CDTF">2026-10-18T23:11:50Z</dcterms:modified>
</cp:coreProperties>
</file>