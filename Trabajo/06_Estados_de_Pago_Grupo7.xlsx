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átula EP N°1 (15%)" sheetId="1" state="visible" r:id="rId1"/>
    <sheet xmlns:r="http://schemas.openxmlformats.org/officeDocument/2006/relationships" name="Detalle EP N°1" sheetId="2" state="visible" r:id="rId2"/>
    <sheet xmlns:r="http://schemas.openxmlformats.org/officeDocument/2006/relationships" name="Carátula EP N°2 (35%)" sheetId="3" state="visible" r:id="rId3"/>
    <sheet xmlns:r="http://schemas.openxmlformats.org/officeDocument/2006/relationships" name="Detalle EP N°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"/>
    <numFmt numFmtId="166" formatCode="0.000000"/>
    <numFmt numFmtId="167" formatCode="#,##0.0"/>
    <numFmt numFmtId="168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10"/>
    </font>
    <font>
      <name val="Calibri"/>
      <b val="1"/>
      <color rgb="001F497D"/>
      <sz val="10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2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3" borderId="1" pivotButton="0" quotePrefix="0" xfId="0"/>
    <xf numFmtId="0" fontId="0" fillId="3" borderId="1" pivotButton="0" quotePrefix="0" xfId="0"/>
    <xf numFmtId="165" fontId="6" fillId="3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7" fillId="4" borderId="1" pivotButton="0" quotePrefix="0" xfId="0"/>
    <xf numFmtId="0" fontId="0" fillId="4" borderId="1" pivotButton="0" quotePrefix="0" xfId="0"/>
    <xf numFmtId="164" fontId="7" fillId="4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167" fontId="3" fillId="4" borderId="1" pivotButton="0" quotePrefix="0" xfId="0"/>
    <xf numFmtId="164" fontId="3" fillId="4" borderId="1" pivotButton="0" quotePrefix="0" xfId="0"/>
    <xf numFmtId="168" fontId="3" fillId="4" borderId="1" pivotButton="0" quotePrefix="0" xfId="0"/>
    <xf numFmtId="0" fontId="4" fillId="0" borderId="1" applyAlignment="1" pivotButton="0" quotePrefix="0" xfId="0">
      <alignment horizontal="center"/>
    </xf>
    <xf numFmtId="167" fontId="4" fillId="0" borderId="1" pivotButton="0" quotePrefix="0" xfId="0"/>
    <xf numFmtId="164" fontId="4" fillId="0" borderId="1" pivotButton="0" quotePrefix="0" xfId="0"/>
    <xf numFmtId="168" fontId="4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167" fontId="3" fillId="5" borderId="1" pivotButton="0" quotePrefix="0" xfId="0"/>
    <xf numFmtId="164" fontId="3" fillId="5" borderId="1" pivotButton="0" quotePrefix="0" xfId="0"/>
    <xf numFmtId="168" fontId="3" fillId="5" borderId="1" pivotButton="0" quotePrefix="0" xfId="0"/>
    <xf numFmtId="0" fontId="7" fillId="4" borderId="2" applyAlignment="1" pivotButton="0" quotePrefix="0" xfId="0">
      <alignment horizontal="right" vertical="center"/>
    </xf>
    <xf numFmtId="0" fontId="0" fillId="4" borderId="2" pivotButton="0" quotePrefix="0" xfId="0"/>
    <xf numFmtId="164" fontId="7" fillId="4" borderId="2" pivotButton="0" quotePrefix="0" xfId="0"/>
    <xf numFmtId="10" fontId="7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1" t="inlineStr">
        <is>
          <t>ESTADO DE PAGO N° 1 (AVANCE FÍSICO 15%)</t>
        </is>
      </c>
    </row>
    <row r="2" ht="18" customHeight="1">
      <c r="A2" s="2" t="inlineStr">
        <is>
          <t>CONSTRUCCIÓN EDIFICIO DE BODEGAS BSL QUILICURA — GRUPO 7</t>
        </is>
      </c>
    </row>
    <row r="4">
      <c r="A4" s="3" t="inlineStr">
        <is>
          <t>MANDANTE / PROPIETARIO</t>
        </is>
      </c>
      <c r="B4" s="4" t="n"/>
      <c r="C4" s="5" t="inlineStr">
        <is>
          <t>BSL Inversiones Industriales S.A.</t>
        </is>
      </c>
      <c r="D4" s="4" t="n"/>
      <c r="E4" s="4" t="n"/>
      <c r="F4" s="4" t="n"/>
      <c r="G4" s="4" t="n"/>
    </row>
    <row r="5">
      <c r="A5" s="3" t="inlineStr">
        <is>
          <t>CONTRATISTA</t>
        </is>
      </c>
      <c r="B5" s="4" t="n"/>
      <c r="C5" s="5" t="inlineStr">
        <is>
          <t>Constructora Grupo 7 — Oscar Rodríguez &amp; Nicolás Letelier</t>
        </is>
      </c>
      <c r="D5" s="4" t="n"/>
      <c r="E5" s="4" t="n"/>
      <c r="F5" s="4" t="n"/>
      <c r="G5" s="4" t="n"/>
    </row>
    <row r="6">
      <c r="A6" s="3" t="inlineStr">
        <is>
          <t>UBICACIÓN</t>
        </is>
      </c>
      <c r="B6" s="4" t="n"/>
      <c r="C6" s="5" t="inlineStr">
        <is>
          <t>Calle Meulén N°331 (ex 451), Lote F, Quilicura, Santiago</t>
        </is>
      </c>
      <c r="D6" s="4" t="n"/>
      <c r="E6" s="4" t="n"/>
      <c r="F6" s="4" t="n"/>
      <c r="G6" s="4" t="n"/>
    </row>
    <row r="7">
      <c r="A7" s="3" t="inlineStr">
        <is>
          <t>FECHA DE CORTE DEL AVANCE</t>
        </is>
      </c>
      <c r="B7" s="4" t="n"/>
      <c r="C7" s="5" t="inlineStr">
        <is>
          <t>30 de abril de 2026</t>
        </is>
      </c>
      <c r="D7" s="4" t="n"/>
      <c r="E7" s="4" t="n"/>
      <c r="F7" s="4" t="n"/>
      <c r="G7" s="4" t="n"/>
    </row>
    <row r="8">
      <c r="A8" s="3" t="inlineStr">
        <is>
          <t>FECHA DE PRESENTACIÓN EP</t>
        </is>
      </c>
      <c r="B8" s="4" t="n"/>
      <c r="C8" s="5" t="inlineStr">
        <is>
          <t>08 de mayo de 2026 (mes siguiente)</t>
        </is>
      </c>
      <c r="D8" s="4" t="n"/>
      <c r="E8" s="4" t="n"/>
      <c r="F8" s="4" t="n"/>
      <c r="G8" s="4" t="n"/>
    </row>
    <row r="9">
      <c r="A9" s="3" t="inlineStr">
        <is>
          <t>PERÍODO DEL ESTADO DE PAGO</t>
        </is>
      </c>
      <c r="B9" s="4" t="n"/>
      <c r="C9" s="5" t="inlineStr">
        <is>
          <t>02 de marzo de 2026 al 30 de abril de 2026</t>
        </is>
      </c>
      <c r="D9" s="4" t="n"/>
      <c r="E9" s="4" t="n"/>
      <c r="F9" s="4" t="n"/>
      <c r="G9" s="4" t="n"/>
    </row>
    <row r="10">
      <c r="A10" s="3" t="inlineStr">
        <is>
          <t>PLAZO CONTRACTUAL</t>
        </is>
      </c>
      <c r="B10" s="4" t="n"/>
      <c r="C10" s="5" t="inlineStr">
        <is>
          <t>193 días hábiles (Marzo a Diciembre 2026)</t>
        </is>
      </c>
      <c r="D10" s="4" t="n"/>
      <c r="E10" s="4" t="n"/>
      <c r="F10" s="4" t="n"/>
      <c r="G10" s="4" t="n"/>
    </row>
    <row r="11">
      <c r="A11" s="3" t="inlineStr">
        <is>
          <t>PORCENTAJE AVANCE FÍSICO ACUMULADO</t>
        </is>
      </c>
      <c r="B11" s="4" t="n"/>
      <c r="C11" s="5" t="inlineStr">
        <is>
          <t>15.03%</t>
        </is>
      </c>
      <c r="D11" s="4" t="n"/>
      <c r="E11" s="4" t="n"/>
      <c r="F11" s="4" t="n"/>
      <c r="G11" s="4" t="n"/>
    </row>
    <row r="12">
      <c r="A12" s="3" t="inlineStr">
        <is>
          <t>MONTO TOTAL CONTRATO (sin IVA)</t>
        </is>
      </c>
      <c r="B12" s="4" t="n"/>
      <c r="C12" s="5" t="inlineStr">
        <is>
          <t>$  5,758,410,689</t>
        </is>
      </c>
      <c r="D12" s="4" t="n"/>
      <c r="E12" s="4" t="n"/>
      <c r="F12" s="4" t="n"/>
      <c r="G12" s="4" t="n"/>
    </row>
    <row r="14">
      <c r="A14" s="6" t="inlineStr">
        <is>
          <t>LIQUIDACIÓN ECONÓMICA Y APLICACIÓN DE REAJUSTE IPC (BASE ENERO 2026)</t>
        </is>
      </c>
    </row>
    <row r="15">
      <c r="A15" s="3" t="inlineStr">
        <is>
          <t>1. Monto Básico Acumulado Ejecutado a la Fecha (sin IVA)</t>
        </is>
      </c>
      <c r="B15" s="4" t="n"/>
      <c r="C15" s="7">
        <f>'Detalle EP N°1'!H48</f>
        <v/>
      </c>
      <c r="D15" s="4" t="n"/>
      <c r="E15" s="4" t="n"/>
      <c r="F15" s="4" t="n"/>
      <c r="G15" s="4" t="n"/>
    </row>
    <row r="16">
      <c r="A16" s="5" t="inlineStr">
        <is>
          <t>2. Menos Monto Básico Estado de Pago Anterior</t>
        </is>
      </c>
      <c r="B16" s="4" t="n"/>
      <c r="C16" s="8" t="n">
        <v>0</v>
      </c>
      <c r="D16" s="4" t="n"/>
      <c r="E16" s="4" t="n"/>
      <c r="F16" s="4" t="n"/>
      <c r="G16" s="4" t="n"/>
    </row>
    <row r="17">
      <c r="A17" s="3" t="inlineStr">
        <is>
          <t>3. Monto Básico Líquido del Período</t>
        </is>
      </c>
      <c r="B17" s="4" t="n"/>
      <c r="C17" s="7">
        <f>C15-C16</f>
        <v/>
      </c>
      <c r="D17" s="4" t="n"/>
      <c r="E17" s="4" t="n"/>
      <c r="F17" s="4" t="n"/>
      <c r="G17" s="4" t="n"/>
    </row>
    <row r="18">
      <c r="A18" s="9" t="inlineStr">
        <is>
          <t>--- REAJUSTE POR ÍNDICE DE PRECIOS AL CONSUMIDOR (IPC) ---</t>
        </is>
      </c>
      <c r="B18" s="10" t="n"/>
      <c r="C18" s="11" t="inlineStr"/>
      <c r="D18" s="10" t="n"/>
      <c r="E18" s="10" t="n"/>
      <c r="F18" s="10" t="n"/>
      <c r="G18" s="10" t="n"/>
    </row>
    <row r="19">
      <c r="A19" s="5" t="inlineStr">
        <is>
          <t xml:space="preserve">   - IPC Mes Base (Enero 2026)</t>
        </is>
      </c>
      <c r="B19" s="4" t="n"/>
      <c r="C19" s="12" t="n">
        <v>109.71</v>
      </c>
      <c r="D19" s="4" t="n"/>
      <c r="E19" s="4" t="n"/>
      <c r="F19" s="4" t="n"/>
      <c r="G19" s="4" t="n"/>
    </row>
    <row r="20">
      <c r="A20" s="5" t="inlineStr">
        <is>
          <t xml:space="preserve">   - IPC Mes Cierre Avance (Abril 2026)</t>
        </is>
      </c>
      <c r="B20" s="4" t="n"/>
      <c r="C20" s="12" t="n">
        <v>112.18</v>
      </c>
      <c r="D20" s="4" t="n"/>
      <c r="E20" s="4" t="n"/>
      <c r="F20" s="4" t="n"/>
      <c r="G20" s="4" t="n"/>
    </row>
    <row r="21">
      <c r="A21" s="5" t="inlineStr">
        <is>
          <t xml:space="preserve">   - Factor Reajuste Cierre (IPC Abr / IPC Ene)</t>
        </is>
      </c>
      <c r="B21" s="4" t="n"/>
      <c r="C21" s="13">
        <f>112.18/109.71</f>
        <v/>
      </c>
      <c r="D21" s="4" t="n"/>
      <c r="E21" s="4" t="n"/>
      <c r="F21" s="4" t="n"/>
      <c r="G21" s="4" t="n"/>
    </row>
    <row r="22">
      <c r="A22" s="5" t="inlineStr">
        <is>
          <t xml:space="preserve">   - IPC Mes Presentación (Mayo 2026 - habitual mes siguiente)</t>
        </is>
      </c>
      <c r="B22" s="4" t="n"/>
      <c r="C22" s="12" t="n">
        <v>112.37</v>
      </c>
      <c r="D22" s="4" t="n"/>
      <c r="E22" s="4" t="n"/>
      <c r="F22" s="4" t="n"/>
      <c r="G22" s="4" t="n"/>
    </row>
    <row r="23">
      <c r="A23" s="5" t="inlineStr">
        <is>
          <t xml:space="preserve">   - Factor Reajuste Presentación (IPC May / IPC Ene)</t>
        </is>
      </c>
      <c r="B23" s="4" t="n"/>
      <c r="C23" s="13">
        <f>112.37/109.71</f>
        <v/>
      </c>
      <c r="D23" s="4" t="n"/>
      <c r="E23" s="4" t="n"/>
      <c r="F23" s="4" t="n"/>
      <c r="G23" s="4" t="n"/>
    </row>
    <row r="24">
      <c r="A24" s="3" t="inlineStr">
        <is>
          <t>4. Reajuste IPC del Período (según mes presentación Mayo 2026: +2.42%)</t>
        </is>
      </c>
      <c r="B24" s="4" t="n"/>
      <c r="C24" s="7">
        <f>C17*(C23-1)</f>
        <v/>
      </c>
      <c r="D24" s="4" t="n"/>
      <c r="E24" s="4" t="n"/>
      <c r="F24" s="4" t="n"/>
      <c r="G24" s="4" t="n"/>
    </row>
    <row r="25">
      <c r="A25" s="3" t="inlineStr">
        <is>
          <t>5. Monto Líquido del Período con Reajuste IPC (3 + 4)</t>
        </is>
      </c>
      <c r="B25" s="4" t="n"/>
      <c r="C25" s="7">
        <f>C17+C24</f>
        <v/>
      </c>
      <c r="D25" s="4" t="n"/>
      <c r="E25" s="4" t="n"/>
      <c r="F25" s="4" t="n"/>
      <c r="G25" s="4" t="n"/>
    </row>
    <row r="26">
      <c r="A26" s="9" t="inlineStr">
        <is>
          <t>--- DESCUENTOS Y RETENCIONES CONTRACTUALES ---</t>
        </is>
      </c>
      <c r="B26" s="10" t="n"/>
      <c r="C26" s="11" t="inlineStr"/>
      <c r="D26" s="10" t="n"/>
      <c r="E26" s="10" t="n"/>
      <c r="F26" s="10" t="n"/>
      <c r="G26" s="10" t="n"/>
    </row>
    <row r="27">
      <c r="A27" s="5" t="inlineStr">
        <is>
          <t>6. Retención de Garantía Contractual (5.0% sobre Monto con Reajuste)</t>
        </is>
      </c>
      <c r="B27" s="4" t="n"/>
      <c r="C27" s="8">
        <f>C25*0.05</f>
        <v/>
      </c>
      <c r="D27" s="4" t="n"/>
      <c r="E27" s="4" t="n"/>
      <c r="F27" s="4" t="n"/>
      <c r="G27" s="4" t="n"/>
    </row>
    <row r="28">
      <c r="A28" s="5" t="inlineStr">
        <is>
          <t>7. Devolución de Anticipo (si aplica)</t>
        </is>
      </c>
      <c r="B28" s="4" t="n"/>
      <c r="C28" s="8" t="n">
        <v>0</v>
      </c>
      <c r="D28" s="4" t="n"/>
      <c r="E28" s="4" t="n"/>
      <c r="F28" s="4" t="n"/>
      <c r="G28" s="4" t="n"/>
    </row>
    <row r="29">
      <c r="A29" s="14" t="inlineStr">
        <is>
          <t>8. TOTAL LÍQUIDO A FACTURAR EN EL PERÍODO (sin IVA) (5 - 6 - 7)</t>
        </is>
      </c>
      <c r="B29" s="15" t="n"/>
      <c r="C29" s="16">
        <f>C25-C27-C28</f>
        <v/>
      </c>
      <c r="D29" s="15" t="n"/>
      <c r="E29" s="15" t="n"/>
      <c r="F29" s="15" t="n"/>
      <c r="G29" s="15" t="n"/>
    </row>
    <row r="30">
      <c r="A30" s="5" t="inlineStr">
        <is>
          <t>9. Impuesto al Valor Agregado (IVA 19%)</t>
        </is>
      </c>
      <c r="B30" s="4" t="n"/>
      <c r="C30" s="8">
        <f>C29*0.19</f>
        <v/>
      </c>
      <c r="D30" s="4" t="n"/>
      <c r="E30" s="4" t="n"/>
      <c r="F30" s="4" t="n"/>
      <c r="G30" s="4" t="n"/>
    </row>
    <row r="31">
      <c r="A31" s="14" t="inlineStr">
        <is>
          <t>10. TOTAL A PAGAR ESTADO DE PAGO N° 1 (con IVA)</t>
        </is>
      </c>
      <c r="B31" s="15" t="n"/>
      <c r="C31" s="16">
        <f>C29+C30</f>
        <v/>
      </c>
      <c r="D31" s="15" t="n"/>
      <c r="E31" s="15" t="n"/>
      <c r="F31" s="15" t="n"/>
      <c r="G31" s="15" t="n"/>
    </row>
  </sheetData>
  <mergeCells count="55">
    <mergeCell ref="A14:G14"/>
    <mergeCell ref="D18:G18"/>
    <mergeCell ref="A24:B24"/>
    <mergeCell ref="A30:B30"/>
    <mergeCell ref="A15:B15"/>
    <mergeCell ref="C6:G6"/>
    <mergeCell ref="D25:G25"/>
    <mergeCell ref="A11:B11"/>
    <mergeCell ref="D24:G24"/>
    <mergeCell ref="C5:G5"/>
    <mergeCell ref="D30:G30"/>
    <mergeCell ref="D15:G15"/>
    <mergeCell ref="D29:G29"/>
    <mergeCell ref="A6:B6"/>
    <mergeCell ref="D23:G23"/>
    <mergeCell ref="C4:G4"/>
    <mergeCell ref="A16:B16"/>
    <mergeCell ref="D26:G26"/>
    <mergeCell ref="A7:B7"/>
    <mergeCell ref="A25:B25"/>
    <mergeCell ref="C10:G10"/>
    <mergeCell ref="D20:G20"/>
    <mergeCell ref="D19:G19"/>
    <mergeCell ref="A18:B18"/>
    <mergeCell ref="A27:B27"/>
    <mergeCell ref="C9:G9"/>
    <mergeCell ref="A12:B12"/>
    <mergeCell ref="D22:G22"/>
    <mergeCell ref="A26:B26"/>
    <mergeCell ref="A21:B21"/>
    <mergeCell ref="D31:G31"/>
    <mergeCell ref="A1:G1"/>
    <mergeCell ref="C12:G12"/>
    <mergeCell ref="A5:B5"/>
    <mergeCell ref="C11:G11"/>
    <mergeCell ref="D21:G21"/>
    <mergeCell ref="A17:B17"/>
    <mergeCell ref="A23:B23"/>
    <mergeCell ref="D27:G27"/>
    <mergeCell ref="C8:G8"/>
    <mergeCell ref="A8:B8"/>
    <mergeCell ref="A22:B22"/>
    <mergeCell ref="A4:B4"/>
    <mergeCell ref="A20:B20"/>
    <mergeCell ref="C7:G7"/>
    <mergeCell ref="D17:G17"/>
    <mergeCell ref="A29:B29"/>
    <mergeCell ref="A19:B19"/>
    <mergeCell ref="A10:B10"/>
    <mergeCell ref="D16:G16"/>
    <mergeCell ref="A28:B28"/>
    <mergeCell ref="A2:G2"/>
    <mergeCell ref="A9:B9"/>
    <mergeCell ref="A31:B31"/>
    <mergeCell ref="D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8" customWidth="1" min="3" max="3"/>
    <col width="15" customWidth="1" min="4" max="4"/>
    <col width="16" customWidth="1" min="5" max="5"/>
    <col width="15" customWidth="1" min="6" max="6"/>
    <col width="15" customWidth="1" min="7" max="7"/>
    <col width="18" customWidth="1" min="8" max="8"/>
    <col width="14" customWidth="1" min="9" max="9"/>
    <col width="15" customWidth="1" min="10" max="10"/>
  </cols>
  <sheetData>
    <row r="1" ht="24" customHeight="1">
      <c r="A1" s="1" t="inlineStr">
        <is>
          <t>DETALLE DE PARTIDAS EJECUTADAS — ESTADO DE PAGO N° 1 (15% AVANCE)</t>
        </is>
      </c>
    </row>
    <row r="2" ht="18" customHeight="1">
      <c r="A2" s="2" t="inlineStr">
        <is>
          <t>Fecha de Corte: 30 de abril de 2026 | Valores en CLP (Costo Directo + GG 15.27% + Utilidad 9.00%)</t>
        </is>
      </c>
    </row>
    <row r="4" ht="28" customHeight="1">
      <c r="A4" s="17" t="inlineStr">
        <is>
          <t>Ítem</t>
        </is>
      </c>
      <c r="B4" s="17" t="inlineStr">
        <is>
          <t>Descripción de la Partida</t>
        </is>
      </c>
      <c r="C4" s="17" t="inlineStr">
        <is>
          <t>Unid.</t>
        </is>
      </c>
      <c r="D4" s="17" t="inlineStr">
        <is>
          <t>Cantidad Contrato</t>
        </is>
      </c>
      <c r="E4" s="17" t="inlineStr">
        <is>
          <t>PU Venta ($)</t>
        </is>
      </c>
      <c r="F4" s="17" t="inlineStr">
        <is>
          <t>Cant. Acum. Anterior</t>
        </is>
      </c>
      <c r="G4" s="17" t="inlineStr">
        <is>
          <t>Cant. Presente Período</t>
        </is>
      </c>
      <c r="H4" s="17" t="inlineStr">
        <is>
          <t>Monto Presente Período ($)</t>
        </is>
      </c>
      <c r="I4" s="17" t="inlineStr">
        <is>
          <t>% Avance Partida</t>
        </is>
      </c>
      <c r="J4" s="17" t="inlineStr">
        <is>
          <t>Saldo por Ejecutar</t>
        </is>
      </c>
    </row>
    <row r="5" ht="19" customHeight="1">
      <c r="A5" s="18" t="inlineStr">
        <is>
          <t>1.1</t>
        </is>
      </c>
      <c r="B5" s="19" t="inlineStr">
        <is>
          <t>Excavación en TCN Caminos</t>
        </is>
      </c>
      <c r="C5" s="18" t="inlineStr">
        <is>
          <t>m3</t>
        </is>
      </c>
      <c r="D5" s="20" t="n">
        <v>466</v>
      </c>
      <c r="E5" s="21" t="n">
        <v>6834.877500000001</v>
      </c>
      <c r="F5" s="20" t="n">
        <v>0</v>
      </c>
      <c r="G5" s="20" t="n">
        <v>466</v>
      </c>
      <c r="H5" s="21">
        <f>G5*E5</f>
        <v/>
      </c>
      <c r="I5" s="22">
        <f>G5/D5</f>
        <v/>
      </c>
      <c r="J5" s="20">
        <f>D5-G5</f>
        <v/>
      </c>
    </row>
    <row r="6" ht="19" customHeight="1">
      <c r="A6" s="18" t="inlineStr">
        <is>
          <t>1.2</t>
        </is>
      </c>
      <c r="B6" s="19" t="inlineStr">
        <is>
          <t>Excavación en TCN Bodegas</t>
        </is>
      </c>
      <c r="C6" s="18" t="inlineStr">
        <is>
          <t>m3</t>
        </is>
      </c>
      <c r="D6" s="20" t="n">
        <v>20354</v>
      </c>
      <c r="E6" s="21" t="n">
        <v>6834.877500000001</v>
      </c>
      <c r="F6" s="20" t="n">
        <v>0</v>
      </c>
      <c r="G6" s="20" t="n">
        <v>20354</v>
      </c>
      <c r="H6" s="21">
        <f>G6*E6</f>
        <v/>
      </c>
      <c r="I6" s="22">
        <f>G6/D6</f>
        <v/>
      </c>
      <c r="J6" s="20">
        <f>D6-G6</f>
        <v/>
      </c>
    </row>
    <row r="7" ht="19" customHeight="1">
      <c r="A7" s="18" t="inlineStr">
        <is>
          <t>1.3</t>
        </is>
      </c>
      <c r="B7" s="19" t="inlineStr">
        <is>
          <t>Mejoramiento Fundaciones con integral natural (1,5 m.)</t>
        </is>
      </c>
      <c r="C7" s="18" t="inlineStr">
        <is>
          <t>m3</t>
        </is>
      </c>
      <c r="D7" s="20" t="n">
        <v>7740</v>
      </c>
      <c r="E7" s="21" t="n">
        <v>22368.69</v>
      </c>
      <c r="F7" s="20" t="n">
        <v>0</v>
      </c>
      <c r="G7" s="20" t="n">
        <v>7740</v>
      </c>
      <c r="H7" s="21">
        <f>G7*E7</f>
        <v/>
      </c>
      <c r="I7" s="22">
        <f>G7/D7</f>
        <v/>
      </c>
      <c r="J7" s="20">
        <f>D7-G7</f>
        <v/>
      </c>
    </row>
    <row r="8" ht="19" customHeight="1">
      <c r="A8" s="18" t="inlineStr">
        <is>
          <t>1.4</t>
        </is>
      </c>
      <c r="B8" s="19" t="inlineStr">
        <is>
          <t>Mejoramiento Fundaciones con integral natural (0,5 m.)</t>
        </is>
      </c>
      <c r="C8" s="18" t="inlineStr">
        <is>
          <t>m3</t>
        </is>
      </c>
      <c r="D8" s="20" t="n">
        <v>2944</v>
      </c>
      <c r="E8" s="21" t="n">
        <v>22368.69</v>
      </c>
      <c r="F8" s="20" t="n">
        <v>0</v>
      </c>
      <c r="G8" s="20" t="n">
        <v>2944</v>
      </c>
      <c r="H8" s="21">
        <f>G8*E8</f>
        <v/>
      </c>
      <c r="I8" s="22">
        <f>G8/D8</f>
        <v/>
      </c>
      <c r="J8" s="20">
        <f>D8-G8</f>
        <v/>
      </c>
    </row>
    <row r="9" ht="19" customHeight="1">
      <c r="A9" s="23" t="inlineStr">
        <is>
          <t>1.5</t>
        </is>
      </c>
      <c r="B9" s="5" t="inlineStr">
        <is>
          <t>Relleno Estructural bajo 2" (Fundaciones a Subrasante)</t>
        </is>
      </c>
      <c r="C9" s="23" t="inlineStr">
        <is>
          <t>m3</t>
        </is>
      </c>
      <c r="D9" s="24" t="n">
        <v>2198</v>
      </c>
      <c r="E9" s="25" t="n">
        <v>24854.1</v>
      </c>
      <c r="F9" s="24" t="n">
        <v>0</v>
      </c>
      <c r="G9" s="24" t="n">
        <v>0</v>
      </c>
      <c r="H9" s="25">
        <f>G9*E9</f>
        <v/>
      </c>
      <c r="I9" s="26">
        <f>G9/D9</f>
        <v/>
      </c>
      <c r="J9" s="24">
        <f>D9-G9</f>
        <v/>
      </c>
    </row>
    <row r="10" ht="19" customHeight="1">
      <c r="A10" s="23" t="inlineStr">
        <is>
          <t>1.6</t>
        </is>
      </c>
      <c r="B10" s="5" t="inlineStr">
        <is>
          <t>Relleno Estructural bajo 6" (Fundaciones a Subrasante)</t>
        </is>
      </c>
      <c r="C10" s="23" t="inlineStr">
        <is>
          <t>m3</t>
        </is>
      </c>
      <c r="D10" s="24" t="n">
        <v>3299</v>
      </c>
      <c r="E10" s="25" t="n">
        <v>24854.1</v>
      </c>
      <c r="F10" s="24" t="n">
        <v>0</v>
      </c>
      <c r="G10" s="24" t="n">
        <v>0</v>
      </c>
      <c r="H10" s="25">
        <f>G10*E10</f>
        <v/>
      </c>
      <c r="I10" s="26">
        <f>G10/D10</f>
        <v/>
      </c>
      <c r="J10" s="24">
        <f>D10-G10</f>
        <v/>
      </c>
    </row>
    <row r="11" ht="19" customHeight="1">
      <c r="A11" s="23" t="inlineStr">
        <is>
          <t>1.7</t>
        </is>
      </c>
      <c r="B11" s="5" t="inlineStr">
        <is>
          <t>Relleno Estructural bajo 2" Bodegas, Oficinas, VF</t>
        </is>
      </c>
      <c r="C11" s="23" t="inlineStr">
        <is>
          <t>m3</t>
        </is>
      </c>
      <c r="D11" s="24" t="n">
        <v>3398</v>
      </c>
      <c r="E11" s="25" t="n">
        <v>24854.1</v>
      </c>
      <c r="F11" s="24" t="n">
        <v>0</v>
      </c>
      <c r="G11" s="24" t="n">
        <v>0</v>
      </c>
      <c r="H11" s="25">
        <f>G11*E11</f>
        <v/>
      </c>
      <c r="I11" s="26">
        <f>G11/D11</f>
        <v/>
      </c>
      <c r="J11" s="24">
        <f>D11-G11</f>
        <v/>
      </c>
    </row>
    <row r="12" ht="19" customHeight="1">
      <c r="A12" s="18" t="inlineStr">
        <is>
          <t>1.8</t>
        </is>
      </c>
      <c r="B12" s="19" t="inlineStr">
        <is>
          <t>Terraplén caminos y areas de servicio</t>
        </is>
      </c>
      <c r="C12" s="18" t="inlineStr">
        <is>
          <t>m3</t>
        </is>
      </c>
      <c r="D12" s="20" t="n">
        <v>1955</v>
      </c>
      <c r="E12" s="21" t="n">
        <v>6213.525000000001</v>
      </c>
      <c r="F12" s="20" t="n">
        <v>0</v>
      </c>
      <c r="G12" s="20" t="n">
        <v>1955</v>
      </c>
      <c r="H12" s="21">
        <f>G12*E12</f>
        <v/>
      </c>
      <c r="I12" s="22">
        <f>G12/D12</f>
        <v/>
      </c>
      <c r="J12" s="20">
        <f>D12-G12</f>
        <v/>
      </c>
    </row>
    <row r="13" ht="19" customHeight="1">
      <c r="A13" s="23" t="inlineStr">
        <is>
          <t>1.9</t>
        </is>
      </c>
      <c r="B13" s="5" t="inlineStr">
        <is>
          <t>Terraplén bajo radier bodegas</t>
        </is>
      </c>
      <c r="C13" s="23" t="inlineStr">
        <is>
          <t>m3</t>
        </is>
      </c>
      <c r="D13" s="24" t="n">
        <v>1699</v>
      </c>
      <c r="E13" s="25" t="n">
        <v>6213.525000000001</v>
      </c>
      <c r="F13" s="24" t="n">
        <v>0</v>
      </c>
      <c r="G13" s="24" t="n">
        <v>0</v>
      </c>
      <c r="H13" s="25">
        <f>G13*E13</f>
        <v/>
      </c>
      <c r="I13" s="26">
        <f>G13/D13</f>
        <v/>
      </c>
      <c r="J13" s="24">
        <f>D13-G13</f>
        <v/>
      </c>
    </row>
    <row r="14" ht="19" customHeight="1">
      <c r="A14" s="27" t="inlineStr">
        <is>
          <t>1.10</t>
        </is>
      </c>
      <c r="B14" s="28" t="inlineStr">
        <is>
          <t>Preparación de la Subrasante Bodegas</t>
        </is>
      </c>
      <c r="C14" s="27" t="inlineStr">
        <is>
          <t>m2</t>
        </is>
      </c>
      <c r="D14" s="29" t="n">
        <v>16024</v>
      </c>
      <c r="E14" s="30" t="n">
        <v>1864.0575</v>
      </c>
      <c r="F14" s="29" t="n">
        <v>0</v>
      </c>
      <c r="G14" s="29" t="n">
        <v>13734.85714285714</v>
      </c>
      <c r="H14" s="30">
        <f>G14*E14</f>
        <v/>
      </c>
      <c r="I14" s="31">
        <f>G14/D14</f>
        <v/>
      </c>
      <c r="J14" s="29">
        <f>D14-G14</f>
        <v/>
      </c>
    </row>
    <row r="15" ht="19" customHeight="1">
      <c r="A15" s="18" t="inlineStr">
        <is>
          <t>1.11</t>
        </is>
      </c>
      <c r="B15" s="19" t="inlineStr">
        <is>
          <t>Preparación de la Subrasante Caminos y Areas de Servicio</t>
        </is>
      </c>
      <c r="C15" s="18" t="inlineStr">
        <is>
          <t>m2</t>
        </is>
      </c>
      <c r="D15" s="20" t="n">
        <v>9756</v>
      </c>
      <c r="E15" s="21" t="n">
        <v>1864.0575</v>
      </c>
      <c r="F15" s="20" t="n">
        <v>0</v>
      </c>
      <c r="G15" s="20" t="n">
        <v>9756</v>
      </c>
      <c r="H15" s="21">
        <f>G15*E15</f>
        <v/>
      </c>
      <c r="I15" s="22">
        <f>G15/D15</f>
        <v/>
      </c>
      <c r="J15" s="20">
        <f>D15-G15</f>
        <v/>
      </c>
    </row>
    <row r="16" ht="19" customHeight="1">
      <c r="A16" s="18" t="inlineStr">
        <is>
          <t>1.12</t>
        </is>
      </c>
      <c r="B16" s="19" t="inlineStr">
        <is>
          <t>Base Granular Caminos</t>
        </is>
      </c>
      <c r="C16" s="18" t="inlineStr">
        <is>
          <t>m3</t>
        </is>
      </c>
      <c r="D16" s="20" t="n">
        <v>1965</v>
      </c>
      <c r="E16" s="21" t="n">
        <v>26718.1575</v>
      </c>
      <c r="F16" s="20" t="n">
        <v>0</v>
      </c>
      <c r="G16" s="20" t="n">
        <v>1965</v>
      </c>
      <c r="H16" s="21">
        <f>G16*E16</f>
        <v/>
      </c>
      <c r="I16" s="22">
        <f>G16/D16</f>
        <v/>
      </c>
      <c r="J16" s="20">
        <f>D16-G16</f>
        <v/>
      </c>
    </row>
    <row r="17" ht="19" customHeight="1">
      <c r="A17" s="23" t="inlineStr">
        <is>
          <t>1.13</t>
        </is>
      </c>
      <c r="B17" s="5" t="inlineStr">
        <is>
          <t>Base Granular Bodegas</t>
        </is>
      </c>
      <c r="C17" s="23" t="inlineStr">
        <is>
          <t>m3</t>
        </is>
      </c>
      <c r="D17" s="24" t="n">
        <v>3204</v>
      </c>
      <c r="E17" s="25" t="n">
        <v>26718.1575</v>
      </c>
      <c r="F17" s="24" t="n">
        <v>0</v>
      </c>
      <c r="G17" s="24" t="n">
        <v>0</v>
      </c>
      <c r="H17" s="25">
        <f>G17*E17</f>
        <v/>
      </c>
      <c r="I17" s="26">
        <f>G17/D17</f>
        <v/>
      </c>
      <c r="J17" s="24">
        <f>D17-G17</f>
        <v/>
      </c>
    </row>
    <row r="18" ht="19" customHeight="1">
      <c r="A18" s="23" t="inlineStr">
        <is>
          <t>1.14</t>
        </is>
      </c>
      <c r="B18" s="5" t="inlineStr">
        <is>
          <t>Hormigón G-25 radier (malla acma C-92)</t>
        </is>
      </c>
      <c r="C18" s="23" t="inlineStr">
        <is>
          <t>m3</t>
        </is>
      </c>
      <c r="D18" s="24" t="n">
        <v>2403</v>
      </c>
      <c r="E18" s="25" t="n">
        <v>208774.44</v>
      </c>
      <c r="F18" s="24" t="n">
        <v>0</v>
      </c>
      <c r="G18" s="24" t="n">
        <v>0</v>
      </c>
      <c r="H18" s="25">
        <f>G18*E18</f>
        <v/>
      </c>
      <c r="I18" s="26">
        <f>G18/D18</f>
        <v/>
      </c>
      <c r="J18" s="24">
        <f>D18-G18</f>
        <v/>
      </c>
    </row>
    <row r="19" ht="19" customHeight="1">
      <c r="A19" s="27" t="inlineStr">
        <is>
          <t>1.15</t>
        </is>
      </c>
      <c r="B19" s="28" t="inlineStr">
        <is>
          <t>Hormigón G-35 calles</t>
        </is>
      </c>
      <c r="C19" s="27" t="inlineStr">
        <is>
          <t>m3</t>
        </is>
      </c>
      <c r="D19" s="29" t="n">
        <v>1758</v>
      </c>
      <c r="E19" s="30" t="n">
        <v>192619.275</v>
      </c>
      <c r="F19" s="29" t="n">
        <v>0</v>
      </c>
      <c r="G19" s="29" t="n">
        <v>159.8181818181818</v>
      </c>
      <c r="H19" s="30">
        <f>G19*E19</f>
        <v/>
      </c>
      <c r="I19" s="31">
        <f>G19/D19</f>
        <v/>
      </c>
      <c r="J19" s="29">
        <f>D19-G19</f>
        <v/>
      </c>
    </row>
    <row r="20" ht="19" customHeight="1">
      <c r="A20" s="27" t="inlineStr">
        <is>
          <t>1.16</t>
        </is>
      </c>
      <c r="B20" s="28" t="inlineStr">
        <is>
          <t>Hormigón G-25 Fundaciones Zapatas Bodegas y Oficinas</t>
        </is>
      </c>
      <c r="C20" s="27" t="inlineStr">
        <is>
          <t>m3</t>
        </is>
      </c>
      <c r="D20" s="29" t="n">
        <v>891</v>
      </c>
      <c r="E20" s="30" t="n">
        <v>205046.325</v>
      </c>
      <c r="F20" s="29" t="n">
        <v>0</v>
      </c>
      <c r="G20" s="29" t="n">
        <v>712.8000000000001</v>
      </c>
      <c r="H20" s="30">
        <f>G20*E20</f>
        <v/>
      </c>
      <c r="I20" s="31">
        <f>G20/D20</f>
        <v/>
      </c>
      <c r="J20" s="29">
        <f>D20-G20</f>
        <v/>
      </c>
    </row>
    <row r="21" ht="19" customHeight="1">
      <c r="A21" s="18" t="inlineStr">
        <is>
          <t>1.17</t>
        </is>
      </c>
      <c r="B21" s="19" t="inlineStr">
        <is>
          <t>Hormigón G-04 Emplantillado Fundaciones</t>
        </is>
      </c>
      <c r="C21" s="18" t="inlineStr">
        <is>
          <t>m3</t>
        </is>
      </c>
      <c r="D21" s="20" t="n">
        <v>62</v>
      </c>
      <c r="E21" s="21" t="n">
        <v>136697.55</v>
      </c>
      <c r="F21" s="20" t="n">
        <v>0</v>
      </c>
      <c r="G21" s="20" t="n">
        <v>62</v>
      </c>
      <c r="H21" s="21">
        <f>G21*E21</f>
        <v/>
      </c>
      <c r="I21" s="22">
        <f>G21/D21</f>
        <v/>
      </c>
      <c r="J21" s="20">
        <f>D21-G21</f>
        <v/>
      </c>
    </row>
    <row r="22" ht="19" customHeight="1">
      <c r="A22" s="27" t="inlineStr">
        <is>
          <t>1.18</t>
        </is>
      </c>
      <c r="B22" s="28" t="inlineStr">
        <is>
          <t>Hormigón G-25 Vigas de Fundación</t>
        </is>
      </c>
      <c r="C22" s="27" t="inlineStr">
        <is>
          <t>m3</t>
        </is>
      </c>
      <c r="D22" s="29" t="n">
        <v>121</v>
      </c>
      <c r="E22" s="30" t="n">
        <v>211259.85</v>
      </c>
      <c r="F22" s="29" t="n">
        <v>0</v>
      </c>
      <c r="G22" s="29" t="n">
        <v>72.59999999999999</v>
      </c>
      <c r="H22" s="30">
        <f>G22*E22</f>
        <v/>
      </c>
      <c r="I22" s="31">
        <f>G22/D22</f>
        <v/>
      </c>
      <c r="J22" s="29">
        <f>D22-G22</f>
        <v/>
      </c>
    </row>
    <row r="23" ht="19" customHeight="1">
      <c r="A23" s="23" t="inlineStr">
        <is>
          <t>1.19</t>
        </is>
      </c>
      <c r="B23" s="5" t="inlineStr">
        <is>
          <t>Hormigón G-25 Pedestales Galpones y Oficinas</t>
        </is>
      </c>
      <c r="C23" s="23" t="inlineStr">
        <is>
          <t>m3</t>
        </is>
      </c>
      <c r="D23" s="24" t="n">
        <v>82</v>
      </c>
      <c r="E23" s="25" t="n">
        <v>229900.425</v>
      </c>
      <c r="F23" s="24" t="n">
        <v>0</v>
      </c>
      <c r="G23" s="24" t="n">
        <v>0</v>
      </c>
      <c r="H23" s="25">
        <f>G23*E23</f>
        <v/>
      </c>
      <c r="I23" s="26">
        <f>G23/D23</f>
        <v/>
      </c>
      <c r="J23" s="24">
        <f>D23-G23</f>
        <v/>
      </c>
    </row>
    <row r="24" ht="19" customHeight="1">
      <c r="A24" s="23" t="inlineStr">
        <is>
          <t>1.20</t>
        </is>
      </c>
      <c r="B24" s="5" t="inlineStr">
        <is>
          <t>Hormigón G-25 Muros Galpones y Oficinas</t>
        </is>
      </c>
      <c r="C24" s="23" t="inlineStr">
        <is>
          <t>m3</t>
        </is>
      </c>
      <c r="D24" s="24" t="n">
        <v>430</v>
      </c>
      <c r="E24" s="25" t="n">
        <v>217473.375</v>
      </c>
      <c r="F24" s="24" t="n">
        <v>0</v>
      </c>
      <c r="G24" s="24" t="n">
        <v>0</v>
      </c>
      <c r="H24" s="25">
        <f>G24*E24</f>
        <v/>
      </c>
      <c r="I24" s="26">
        <f>G24/D24</f>
        <v/>
      </c>
      <c r="J24" s="24">
        <f>D24-G24</f>
        <v/>
      </c>
    </row>
    <row r="25" ht="19" customHeight="1">
      <c r="A25" s="27" t="inlineStr">
        <is>
          <t>1.21</t>
        </is>
      </c>
      <c r="B25" s="28" t="inlineStr">
        <is>
          <t>Enfierradura Fundaciones Zapatas</t>
        </is>
      </c>
      <c r="C25" s="27" t="inlineStr">
        <is>
          <t>kg</t>
        </is>
      </c>
      <c r="D25" s="29" t="n">
        <v>42496</v>
      </c>
      <c r="E25" s="30" t="n">
        <v>1665.2247</v>
      </c>
      <c r="F25" s="29" t="n">
        <v>0</v>
      </c>
      <c r="G25" s="29" t="n">
        <v>23608.88888888889</v>
      </c>
      <c r="H25" s="30">
        <f>G25*E25</f>
        <v/>
      </c>
      <c r="I25" s="31">
        <f>G25/D25</f>
        <v/>
      </c>
      <c r="J25" s="29">
        <f>D25-G25</f>
        <v/>
      </c>
    </row>
    <row r="26" ht="19" customHeight="1">
      <c r="A26" s="27" t="inlineStr">
        <is>
          <t>1.22</t>
        </is>
      </c>
      <c r="B26" s="28" t="inlineStr">
        <is>
          <t>Enfierradura Vigas de Fundación</t>
        </is>
      </c>
      <c r="C26" s="27" t="inlineStr">
        <is>
          <t>kg</t>
        </is>
      </c>
      <c r="D26" s="29" t="n">
        <v>10277</v>
      </c>
      <c r="E26" s="30" t="n">
        <v>1665.2247</v>
      </c>
      <c r="F26" s="29" t="n">
        <v>0</v>
      </c>
      <c r="G26" s="29" t="n">
        <v>5533.76923076923</v>
      </c>
      <c r="H26" s="30">
        <f>G26*E26</f>
        <v/>
      </c>
      <c r="I26" s="31">
        <f>G26/D26</f>
        <v/>
      </c>
      <c r="J26" s="29">
        <f>D26-G26</f>
        <v/>
      </c>
    </row>
    <row r="27" ht="19" customHeight="1">
      <c r="A27" s="27" t="inlineStr">
        <is>
          <t>1.23</t>
        </is>
      </c>
      <c r="B27" s="28" t="inlineStr">
        <is>
          <t>Enfierradura Pedestales</t>
        </is>
      </c>
      <c r="C27" s="27" t="inlineStr">
        <is>
          <t>kg</t>
        </is>
      </c>
      <c r="D27" s="29" t="n">
        <v>21028</v>
      </c>
      <c r="E27" s="30" t="n">
        <v>1665.2247</v>
      </c>
      <c r="F27" s="29" t="n">
        <v>0</v>
      </c>
      <c r="G27" s="29" t="n">
        <v>4506</v>
      </c>
      <c r="H27" s="30">
        <f>G27*E27</f>
        <v/>
      </c>
      <c r="I27" s="31">
        <f>G27/D27</f>
        <v/>
      </c>
      <c r="J27" s="29">
        <f>D27-G27</f>
        <v/>
      </c>
    </row>
    <row r="28" ht="19" customHeight="1">
      <c r="A28" s="23" t="inlineStr">
        <is>
          <t>1.24</t>
        </is>
      </c>
      <c r="B28" s="5" t="inlineStr">
        <is>
          <t>Enfierradura Muros</t>
        </is>
      </c>
      <c r="C28" s="23" t="inlineStr">
        <is>
          <t>kg</t>
        </is>
      </c>
      <c r="D28" s="24" t="n">
        <v>23885</v>
      </c>
      <c r="E28" s="25" t="n">
        <v>1665.2247</v>
      </c>
      <c r="F28" s="24" t="n">
        <v>0</v>
      </c>
      <c r="G28" s="24" t="n">
        <v>0</v>
      </c>
      <c r="H28" s="25">
        <f>G28*E28</f>
        <v/>
      </c>
      <c r="I28" s="26">
        <f>G28/D28</f>
        <v/>
      </c>
      <c r="J28" s="24">
        <f>D28-G28</f>
        <v/>
      </c>
    </row>
    <row r="29" ht="19" customHeight="1">
      <c r="A29" s="18" t="inlineStr">
        <is>
          <t>1.25</t>
        </is>
      </c>
      <c r="B29" s="19" t="inlineStr">
        <is>
          <t>Demolición de Aceras</t>
        </is>
      </c>
      <c r="C29" s="18" t="inlineStr">
        <is>
          <t>m2</t>
        </is>
      </c>
      <c r="D29" s="20" t="n">
        <v>60</v>
      </c>
      <c r="E29" s="21" t="n">
        <v>5530.03725</v>
      </c>
      <c r="F29" s="20" t="n">
        <v>0</v>
      </c>
      <c r="G29" s="20" t="n">
        <v>60</v>
      </c>
      <c r="H29" s="21">
        <f>G29*E29</f>
        <v/>
      </c>
      <c r="I29" s="22">
        <f>G29/D29</f>
        <v/>
      </c>
      <c r="J29" s="20">
        <f>D29-G29</f>
        <v/>
      </c>
    </row>
    <row r="30" ht="19" customHeight="1">
      <c r="A30" s="18" t="inlineStr">
        <is>
          <t>1.26</t>
        </is>
      </c>
      <c r="B30" s="19" t="inlineStr">
        <is>
          <t>Remoción de Soleras</t>
        </is>
      </c>
      <c r="C30" s="18" t="inlineStr">
        <is>
          <t>m</t>
        </is>
      </c>
      <c r="D30" s="20" t="n">
        <v>45</v>
      </c>
      <c r="E30" s="21" t="n">
        <v>4349.467500000001</v>
      </c>
      <c r="F30" s="20" t="n">
        <v>0</v>
      </c>
      <c r="G30" s="20" t="n">
        <v>45</v>
      </c>
      <c r="H30" s="21">
        <f>G30*E30</f>
        <v/>
      </c>
      <c r="I30" s="22">
        <f>G30/D30</f>
        <v/>
      </c>
      <c r="J30" s="20">
        <f>D30-G30</f>
        <v/>
      </c>
    </row>
    <row r="31" ht="19" customHeight="1">
      <c r="A31" s="27" t="inlineStr">
        <is>
          <t>1.27</t>
        </is>
      </c>
      <c r="B31" s="28" t="inlineStr">
        <is>
          <t>Solera Tipo A</t>
        </is>
      </c>
      <c r="C31" s="27" t="inlineStr">
        <is>
          <t>m</t>
        </is>
      </c>
      <c r="D31" s="29" t="n">
        <v>1359</v>
      </c>
      <c r="E31" s="30" t="n">
        <v>16776.5175</v>
      </c>
      <c r="F31" s="29" t="n">
        <v>0</v>
      </c>
      <c r="G31" s="29" t="n">
        <v>543.6</v>
      </c>
      <c r="H31" s="30">
        <f>G31*E31</f>
        <v/>
      </c>
      <c r="I31" s="31">
        <f>G31/D31</f>
        <v/>
      </c>
      <c r="J31" s="29">
        <f>D31-G31</f>
        <v/>
      </c>
    </row>
    <row r="32" ht="19" customHeight="1">
      <c r="A32" s="23" t="inlineStr">
        <is>
          <t>2.1</t>
        </is>
      </c>
      <c r="B32" s="5" t="inlineStr">
        <is>
          <t>Estructura Metalica Montado y Pintado</t>
        </is>
      </c>
      <c r="C32" s="23" t="inlineStr">
        <is>
          <t>Kg</t>
        </is>
      </c>
      <c r="D32" s="24" t="n">
        <v>581078</v>
      </c>
      <c r="E32" s="25" t="n">
        <v>2485.41</v>
      </c>
      <c r="F32" s="24" t="n">
        <v>0</v>
      </c>
      <c r="G32" s="24" t="n">
        <v>0</v>
      </c>
      <c r="H32" s="25">
        <f>G32*E32</f>
        <v/>
      </c>
      <c r="I32" s="26">
        <f>G32/D32</f>
        <v/>
      </c>
      <c r="J32" s="24">
        <f>D32-G32</f>
        <v/>
      </c>
    </row>
    <row r="33" ht="19" customHeight="1">
      <c r="A33" s="23" t="inlineStr">
        <is>
          <t>2.2</t>
        </is>
      </c>
      <c r="B33" s="5" t="inlineStr">
        <is>
          <t>Aislación</t>
        </is>
      </c>
      <c r="C33" s="23" t="inlineStr">
        <is>
          <t>m2</t>
        </is>
      </c>
      <c r="D33" s="24" t="n">
        <v>15319</v>
      </c>
      <c r="E33" s="25" t="n">
        <v>5592.172500000001</v>
      </c>
      <c r="F33" s="24" t="n">
        <v>0</v>
      </c>
      <c r="G33" s="24" t="n">
        <v>0</v>
      </c>
      <c r="H33" s="25">
        <f>G33*E33</f>
        <v/>
      </c>
      <c r="I33" s="26">
        <f>G33/D33</f>
        <v/>
      </c>
      <c r="J33" s="24">
        <f>D33-G33</f>
        <v/>
      </c>
    </row>
    <row r="34" ht="19" customHeight="1">
      <c r="A34" s="23" t="inlineStr">
        <is>
          <t>2.3</t>
        </is>
      </c>
      <c r="B34" s="5" t="inlineStr">
        <is>
          <t>Divisiones interiores bodegas</t>
        </is>
      </c>
      <c r="C34" s="23" t="inlineStr">
        <is>
          <t>m2</t>
        </is>
      </c>
      <c r="D34" s="24" t="n">
        <v>7626</v>
      </c>
      <c r="E34" s="25" t="n">
        <v>33553.035</v>
      </c>
      <c r="F34" s="24" t="n">
        <v>0</v>
      </c>
      <c r="G34" s="24" t="n">
        <v>0</v>
      </c>
      <c r="H34" s="25">
        <f>G34*E34</f>
        <v/>
      </c>
      <c r="I34" s="26">
        <f>G34/D34</f>
        <v/>
      </c>
      <c r="J34" s="24">
        <f>D34-G34</f>
        <v/>
      </c>
    </row>
    <row r="35" ht="19" customHeight="1">
      <c r="A35" s="23" t="inlineStr">
        <is>
          <t>2.4</t>
        </is>
      </c>
      <c r="B35" s="5" t="inlineStr">
        <is>
          <t>Oficinas</t>
        </is>
      </c>
      <c r="C35" s="23" t="inlineStr">
        <is>
          <t>m2</t>
        </is>
      </c>
      <c r="D35" s="24" t="n">
        <v>2211</v>
      </c>
      <c r="E35" s="25" t="n">
        <v>621352.5000000001</v>
      </c>
      <c r="F35" s="24" t="n">
        <v>0</v>
      </c>
      <c r="G35" s="24" t="n">
        <v>0</v>
      </c>
      <c r="H35" s="25">
        <f>G35*E35</f>
        <v/>
      </c>
      <c r="I35" s="26">
        <f>G35/D35</f>
        <v/>
      </c>
      <c r="J35" s="24">
        <f>D35-G35</f>
        <v/>
      </c>
    </row>
    <row r="36" ht="19" customHeight="1">
      <c r="A36" s="18" t="inlineStr">
        <is>
          <t>2.5</t>
        </is>
      </c>
      <c r="B36" s="19" t="inlineStr">
        <is>
          <t>Drenes (CuboDren)</t>
        </is>
      </c>
      <c r="C36" s="18" t="inlineStr">
        <is>
          <t>m3</t>
        </is>
      </c>
      <c r="D36" s="20" t="n">
        <v>581</v>
      </c>
      <c r="E36" s="21" t="n">
        <v>59649.84000000001</v>
      </c>
      <c r="F36" s="20" t="n">
        <v>0</v>
      </c>
      <c r="G36" s="20" t="n">
        <v>581</v>
      </c>
      <c r="H36" s="21">
        <f>G36*E36</f>
        <v/>
      </c>
      <c r="I36" s="22">
        <f>G36/D36</f>
        <v/>
      </c>
      <c r="J36" s="20">
        <f>D36-G36</f>
        <v/>
      </c>
    </row>
    <row r="37" ht="19" customHeight="1">
      <c r="A37" s="23" t="inlineStr">
        <is>
          <t>2.6</t>
        </is>
      </c>
      <c r="B37" s="5" t="inlineStr">
        <is>
          <t>Portones Bodegas</t>
        </is>
      </c>
      <c r="C37" s="23" t="inlineStr">
        <is>
          <t>N°</t>
        </is>
      </c>
      <c r="D37" s="24" t="n">
        <v>32</v>
      </c>
      <c r="E37" s="25" t="n">
        <v>2236869</v>
      </c>
      <c r="F37" s="24" t="n">
        <v>0</v>
      </c>
      <c r="G37" s="24" t="n">
        <v>0</v>
      </c>
      <c r="H37" s="25">
        <f>G37*E37</f>
        <v/>
      </c>
      <c r="I37" s="26">
        <f>G37/D37</f>
        <v/>
      </c>
      <c r="J37" s="24">
        <f>D37-G37</f>
        <v/>
      </c>
    </row>
    <row r="38" ht="19" customHeight="1">
      <c r="A38" s="23" t="inlineStr">
        <is>
          <t>2.7</t>
        </is>
      </c>
      <c r="B38" s="5" t="inlineStr">
        <is>
          <t>Puertas exteriores</t>
        </is>
      </c>
      <c r="C38" s="23" t="inlineStr">
        <is>
          <t>N°</t>
        </is>
      </c>
      <c r="D38" s="24" t="n">
        <v>32</v>
      </c>
      <c r="E38" s="25" t="n">
        <v>434946.7500000001</v>
      </c>
      <c r="F38" s="24" t="n">
        <v>0</v>
      </c>
      <c r="G38" s="24" t="n">
        <v>0</v>
      </c>
      <c r="H38" s="25">
        <f>G38*E38</f>
        <v/>
      </c>
      <c r="I38" s="26">
        <f>G38/D38</f>
        <v/>
      </c>
      <c r="J38" s="24">
        <f>D38-G38</f>
        <v/>
      </c>
    </row>
    <row r="39" ht="19" customHeight="1">
      <c r="A39" s="23" t="inlineStr">
        <is>
          <t>2.8</t>
        </is>
      </c>
      <c r="B39" s="5" t="inlineStr">
        <is>
          <t>Muros cortinas, ventanas y puertas vidriadas</t>
        </is>
      </c>
      <c r="C39" s="23" t="inlineStr">
        <is>
          <t>m2</t>
        </is>
      </c>
      <c r="D39" s="24" t="n">
        <v>781</v>
      </c>
      <c r="E39" s="25" t="n">
        <v>219958.785</v>
      </c>
      <c r="F39" s="24" t="n">
        <v>0</v>
      </c>
      <c r="G39" s="24" t="n">
        <v>0</v>
      </c>
      <c r="H39" s="25">
        <f>G39*E39</f>
        <v/>
      </c>
      <c r="I39" s="26">
        <f>G39/D39</f>
        <v/>
      </c>
      <c r="J39" s="24">
        <f>D39-G39</f>
        <v/>
      </c>
    </row>
    <row r="40" ht="19" customHeight="1">
      <c r="A40" s="27" t="inlineStr">
        <is>
          <t>2.9</t>
        </is>
      </c>
      <c r="B40" s="28" t="inlineStr">
        <is>
          <t>Porteria Acogida, bicicletero y barrera acceso</t>
        </is>
      </c>
      <c r="C40" s="27" t="inlineStr">
        <is>
          <t>m2</t>
        </is>
      </c>
      <c r="D40" s="29" t="n">
        <v>58</v>
      </c>
      <c r="E40" s="30" t="n">
        <v>745623.0000000001</v>
      </c>
      <c r="F40" s="29" t="n">
        <v>0</v>
      </c>
      <c r="G40" s="29" t="n">
        <v>34.8</v>
      </c>
      <c r="H40" s="30">
        <f>G40*E40</f>
        <v/>
      </c>
      <c r="I40" s="31">
        <f>G40/D40</f>
        <v/>
      </c>
      <c r="J40" s="29">
        <f>D40-G40</f>
        <v/>
      </c>
    </row>
    <row r="41" ht="19" customHeight="1">
      <c r="A41" s="23" t="inlineStr">
        <is>
          <t>2.10</t>
        </is>
      </c>
      <c r="B41" s="5" t="inlineStr">
        <is>
          <t>Sala electrica</t>
        </is>
      </c>
      <c r="C41" s="23" t="inlineStr">
        <is>
          <t>m2</t>
        </is>
      </c>
      <c r="D41" s="24" t="n">
        <v>35</v>
      </c>
      <c r="E41" s="25" t="n">
        <v>869893.5000000001</v>
      </c>
      <c r="F41" s="24" t="n">
        <v>0</v>
      </c>
      <c r="G41" s="24" t="n">
        <v>0</v>
      </c>
      <c r="H41" s="25">
        <f>G41*E41</f>
        <v/>
      </c>
      <c r="I41" s="26">
        <f>G41/D41</f>
        <v/>
      </c>
      <c r="J41" s="24">
        <f>D41-G41</f>
        <v/>
      </c>
    </row>
    <row r="42" ht="19" customHeight="1">
      <c r="A42" s="23" t="inlineStr">
        <is>
          <t>2.11</t>
        </is>
      </c>
      <c r="B42" s="5" t="inlineStr">
        <is>
          <t>Sala agua potable</t>
        </is>
      </c>
      <c r="C42" s="23" t="inlineStr">
        <is>
          <t>m2</t>
        </is>
      </c>
      <c r="D42" s="24" t="n">
        <v>22</v>
      </c>
      <c r="E42" s="25" t="n">
        <v>807758.2500000001</v>
      </c>
      <c r="F42" s="24" t="n">
        <v>0</v>
      </c>
      <c r="G42" s="24" t="n">
        <v>0</v>
      </c>
      <c r="H42" s="25">
        <f>G42*E42</f>
        <v/>
      </c>
      <c r="I42" s="26">
        <f>G42/D42</f>
        <v/>
      </c>
      <c r="J42" s="24">
        <f>D42-G42</f>
        <v/>
      </c>
    </row>
    <row r="43" ht="19" customHeight="1">
      <c r="A43" s="18" t="inlineStr">
        <is>
          <t>2.12</t>
        </is>
      </c>
      <c r="B43" s="19" t="inlineStr">
        <is>
          <t>Sala residuos</t>
        </is>
      </c>
      <c r="C43" s="18" t="inlineStr">
        <is>
          <t>m2</t>
        </is>
      </c>
      <c r="D43" s="20" t="n">
        <v>24</v>
      </c>
      <c r="E43" s="21" t="n">
        <v>683487.7500000001</v>
      </c>
      <c r="F43" s="20" t="n">
        <v>0</v>
      </c>
      <c r="G43" s="20" t="n">
        <v>24</v>
      </c>
      <c r="H43" s="21">
        <f>G43*E43</f>
        <v/>
      </c>
      <c r="I43" s="22">
        <f>G43/D43</f>
        <v/>
      </c>
      <c r="J43" s="20">
        <f>D43-G43</f>
        <v/>
      </c>
    </row>
    <row r="44" ht="19" customHeight="1">
      <c r="A44" s="18" t="inlineStr">
        <is>
          <t>2.13</t>
        </is>
      </c>
      <c r="B44" s="19" t="inlineStr">
        <is>
          <t>Cierre Perimetral Acmaford</t>
        </is>
      </c>
      <c r="C44" s="18" t="inlineStr">
        <is>
          <t>ml</t>
        </is>
      </c>
      <c r="D44" s="20" t="n">
        <v>238</v>
      </c>
      <c r="E44" s="21" t="n">
        <v>37281.15000000001</v>
      </c>
      <c r="F44" s="20" t="n">
        <v>0</v>
      </c>
      <c r="G44" s="20" t="n">
        <v>238</v>
      </c>
      <c r="H44" s="21">
        <f>G44*E44</f>
        <v/>
      </c>
      <c r="I44" s="22">
        <f>G44/D44</f>
        <v/>
      </c>
      <c r="J44" s="20">
        <f>D44-G44</f>
        <v/>
      </c>
    </row>
    <row r="45" ht="19" customHeight="1">
      <c r="A45" s="18" t="inlineStr">
        <is>
          <t>2.14</t>
        </is>
      </c>
      <c r="B45" s="19" t="inlineStr">
        <is>
          <t>Cierre perimetral Bulldog</t>
        </is>
      </c>
      <c r="C45" s="18" t="inlineStr">
        <is>
          <t>ml</t>
        </is>
      </c>
      <c r="D45" s="20" t="n">
        <v>364</v>
      </c>
      <c r="E45" s="21" t="n">
        <v>64620.66000000001</v>
      </c>
      <c r="F45" s="20" t="n">
        <v>0</v>
      </c>
      <c r="G45" s="20" t="n">
        <v>364</v>
      </c>
      <c r="H45" s="21">
        <f>G45*E45</f>
        <v/>
      </c>
      <c r="I45" s="22">
        <f>G45/D45</f>
        <v/>
      </c>
      <c r="J45" s="20">
        <f>D45-G45</f>
        <v/>
      </c>
    </row>
    <row r="46" ht="24" customHeight="1">
      <c r="A46" s="32" t="inlineStr">
        <is>
          <t>TOTAL EJECUTADO ESTADO DE PAGO N° 1 (sin IVA)</t>
        </is>
      </c>
      <c r="B46" s="33" t="n"/>
      <c r="C46" s="33" t="n"/>
      <c r="D46" s="33" t="n"/>
      <c r="E46" s="33" t="n"/>
      <c r="F46" s="33" t="n"/>
      <c r="G46" s="33" t="n"/>
      <c r="H46" s="34">
        <f>SUM(H5:H45)</f>
        <v/>
      </c>
      <c r="I46" s="35">
        <f>H46/5758410688.804201</f>
        <v/>
      </c>
      <c r="J46" s="33" t="n"/>
    </row>
  </sheetData>
  <mergeCells count="3">
    <mergeCell ref="A1:J1"/>
    <mergeCell ref="A46:G46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1" t="inlineStr">
        <is>
          <t>ESTADO DE PAGO N° 2 (AVANCE FÍSICO 35%)</t>
        </is>
      </c>
    </row>
    <row r="2" ht="18" customHeight="1">
      <c r="A2" s="2" t="inlineStr">
        <is>
          <t>CONSTRUCCIÓN EDIFICIO DE BODEGAS BSL QUILICURA — GRUPO 7</t>
        </is>
      </c>
    </row>
    <row r="4">
      <c r="A4" s="3" t="inlineStr">
        <is>
          <t>MANDANTE / PROPIETARIO</t>
        </is>
      </c>
      <c r="B4" s="4" t="n"/>
      <c r="C4" s="5" t="inlineStr">
        <is>
          <t>BSL Inversiones Industriales S.A.</t>
        </is>
      </c>
      <c r="D4" s="4" t="n"/>
      <c r="E4" s="4" t="n"/>
      <c r="F4" s="4" t="n"/>
      <c r="G4" s="4" t="n"/>
    </row>
    <row r="5">
      <c r="A5" s="3" t="inlineStr">
        <is>
          <t>CONTRATISTA</t>
        </is>
      </c>
      <c r="B5" s="4" t="n"/>
      <c r="C5" s="5" t="inlineStr">
        <is>
          <t>Constructora Grupo 7 — Oscar Rodríguez &amp; Nicolás Letelier</t>
        </is>
      </c>
      <c r="D5" s="4" t="n"/>
      <c r="E5" s="4" t="n"/>
      <c r="F5" s="4" t="n"/>
      <c r="G5" s="4" t="n"/>
    </row>
    <row r="6">
      <c r="A6" s="3" t="inlineStr">
        <is>
          <t>UBICACIÓN</t>
        </is>
      </c>
      <c r="B6" s="4" t="n"/>
      <c r="C6" s="5" t="inlineStr">
        <is>
          <t>Calle Meulén N°331 (ex 451), Lote F, Quilicura, Santiago</t>
        </is>
      </c>
      <c r="D6" s="4" t="n"/>
      <c r="E6" s="4" t="n"/>
      <c r="F6" s="4" t="n"/>
      <c r="G6" s="4" t="n"/>
    </row>
    <row r="7">
      <c r="A7" s="3" t="inlineStr">
        <is>
          <t>FECHA DE CORTE DEL AVANCE</t>
        </is>
      </c>
      <c r="B7" s="4" t="n"/>
      <c r="C7" s="5" t="inlineStr">
        <is>
          <t>16 de junio de 2026</t>
        </is>
      </c>
      <c r="D7" s="4" t="n"/>
      <c r="E7" s="4" t="n"/>
      <c r="F7" s="4" t="n"/>
      <c r="G7" s="4" t="n"/>
    </row>
    <row r="8">
      <c r="A8" s="3" t="inlineStr">
        <is>
          <t>FECHA DE PRESENTACIÓN EP</t>
        </is>
      </c>
      <c r="B8" s="4" t="n"/>
      <c r="C8" s="5" t="inlineStr">
        <is>
          <t>24 de junio de 2026 (mes siguiente / liquidación)</t>
        </is>
      </c>
      <c r="D8" s="4" t="n"/>
      <c r="E8" s="4" t="n"/>
      <c r="F8" s="4" t="n"/>
      <c r="G8" s="4" t="n"/>
    </row>
    <row r="9">
      <c r="A9" s="3" t="inlineStr">
        <is>
          <t>PERÍODO DEL ESTADO DE PAGO</t>
        </is>
      </c>
      <c r="B9" s="4" t="n"/>
      <c r="C9" s="5" t="inlineStr">
        <is>
          <t>01 de mayo de 2026 al 16 de junio de 2026</t>
        </is>
      </c>
      <c r="D9" s="4" t="n"/>
      <c r="E9" s="4" t="n"/>
      <c r="F9" s="4" t="n"/>
      <c r="G9" s="4" t="n"/>
    </row>
    <row r="10">
      <c r="A10" s="3" t="inlineStr">
        <is>
          <t>PLAZO CONTRACTUAL</t>
        </is>
      </c>
      <c r="B10" s="4" t="n"/>
      <c r="C10" s="5" t="inlineStr">
        <is>
          <t>193 días hábiles (Marzo a Diciembre 2026)</t>
        </is>
      </c>
      <c r="D10" s="4" t="n"/>
      <c r="E10" s="4" t="n"/>
      <c r="F10" s="4" t="n"/>
      <c r="G10" s="4" t="n"/>
    </row>
    <row r="11">
      <c r="A11" s="3" t="inlineStr">
        <is>
          <t>PORCENTAJE AVANCE FÍSICO ACUMULADO</t>
        </is>
      </c>
      <c r="B11" s="4" t="n"/>
      <c r="C11" s="5" t="inlineStr">
        <is>
          <t>35.35%</t>
        </is>
      </c>
      <c r="D11" s="4" t="n"/>
      <c r="E11" s="4" t="n"/>
      <c r="F11" s="4" t="n"/>
      <c r="G11" s="4" t="n"/>
    </row>
    <row r="12">
      <c r="A12" s="3" t="inlineStr">
        <is>
          <t>MONTO TOTAL CONTRATO (sin IVA)</t>
        </is>
      </c>
      <c r="B12" s="4" t="n"/>
      <c r="C12" s="5" t="inlineStr">
        <is>
          <t>$  5,758,410,689</t>
        </is>
      </c>
      <c r="D12" s="4" t="n"/>
      <c r="E12" s="4" t="n"/>
      <c r="F12" s="4" t="n"/>
      <c r="G12" s="4" t="n"/>
    </row>
    <row r="14">
      <c r="A14" s="6" t="inlineStr">
        <is>
          <t>LIQUIDACIÓN ECONÓMICA Y APLICACIÓN DE REAJUSTE IPC (BASE ENERO 2026)</t>
        </is>
      </c>
    </row>
    <row r="15">
      <c r="A15" s="3" t="inlineStr">
        <is>
          <t>1. Monto Básico Acumulado Ejecutado a la Fecha (sin IVA)</t>
        </is>
      </c>
      <c r="B15" s="4" t="n"/>
      <c r="C15" s="7">
        <f>'Detalle EP N°2'!I48</f>
        <v/>
      </c>
      <c r="D15" s="4" t="n"/>
      <c r="E15" s="4" t="n"/>
      <c r="F15" s="4" t="n"/>
      <c r="G15" s="4" t="n"/>
    </row>
    <row r="16">
      <c r="A16" s="5" t="inlineStr">
        <is>
          <t>2. Menos Monto Básico Acumulado Estado de Pago N° 1</t>
        </is>
      </c>
      <c r="B16" s="4" t="n"/>
      <c r="C16" s="8">
        <f>'Carátula EP N°1 (15%)'!C15</f>
        <v/>
      </c>
      <c r="D16" s="4" t="n"/>
      <c r="E16" s="4" t="n"/>
      <c r="F16" s="4" t="n"/>
      <c r="G16" s="4" t="n"/>
    </row>
    <row r="17">
      <c r="A17" s="3" t="inlineStr">
        <is>
          <t>3. Monto Básico Líquido del Presente Período N° 2</t>
        </is>
      </c>
      <c r="B17" s="4" t="n"/>
      <c r="C17" s="7">
        <f>C15-C16</f>
        <v/>
      </c>
      <c r="D17" s="4" t="n"/>
      <c r="E17" s="4" t="n"/>
      <c r="F17" s="4" t="n"/>
      <c r="G17" s="4" t="n"/>
    </row>
    <row r="18">
      <c r="A18" s="9" t="inlineStr">
        <is>
          <t>--- REAJUSTE POR ÍNDICE DE PRECIOS AL CONSUMIDOR (IPC) ---</t>
        </is>
      </c>
      <c r="B18" s="10" t="n"/>
      <c r="C18" s="11" t="inlineStr"/>
      <c r="D18" s="10" t="n"/>
      <c r="E18" s="10" t="n"/>
      <c r="F18" s="10" t="n"/>
      <c r="G18" s="10" t="n"/>
    </row>
    <row r="19">
      <c r="A19" s="5" t="inlineStr">
        <is>
          <t xml:space="preserve">   - IPC Mes Base (Enero 2026)</t>
        </is>
      </c>
      <c r="B19" s="4" t="n"/>
      <c r="C19" s="12" t="n">
        <v>109.71</v>
      </c>
      <c r="D19" s="4" t="n"/>
      <c r="E19" s="4" t="n"/>
      <c r="F19" s="4" t="n"/>
      <c r="G19" s="4" t="n"/>
    </row>
    <row r="20">
      <c r="A20" s="5" t="inlineStr">
        <is>
          <t xml:space="preserve">   - IPC Mes Cierre Avance (Junio 2026)</t>
        </is>
      </c>
      <c r="B20" s="4" t="n"/>
      <c r="C20" s="12" t="n">
        <v>112.35</v>
      </c>
      <c r="D20" s="4" t="n"/>
      <c r="E20" s="4" t="n"/>
      <c r="F20" s="4" t="n"/>
      <c r="G20" s="4" t="n"/>
    </row>
    <row r="21">
      <c r="A21" s="5" t="inlineStr">
        <is>
          <t xml:space="preserve">   - Factor Reajuste Cierre (IPC Jun / IPC Ene)</t>
        </is>
      </c>
      <c r="B21" s="4" t="n"/>
      <c r="C21" s="13">
        <f>112.35/109.71</f>
        <v/>
      </c>
      <c r="D21" s="4" t="n"/>
      <c r="E21" s="4" t="n"/>
      <c r="F21" s="4" t="n"/>
      <c r="G21" s="4" t="n"/>
    </row>
    <row r="22">
      <c r="A22" s="5" t="inlineStr">
        <is>
          <t xml:space="preserve">   - IPC Mes Presentación (Julio 2026 - habitual mes siguiente)</t>
        </is>
      </c>
      <c r="B22" s="4" t="n"/>
      <c r="C22" s="12" t="n">
        <v>112.45</v>
      </c>
      <c r="D22" s="4" t="n"/>
      <c r="E22" s="4" t="n"/>
      <c r="F22" s="4" t="n"/>
      <c r="G22" s="4" t="n"/>
    </row>
    <row r="23">
      <c r="A23" s="5" t="inlineStr">
        <is>
          <t xml:space="preserve">   - Factor Reajuste Presentación (IPC Jul / IPC Ene)</t>
        </is>
      </c>
      <c r="B23" s="4" t="n"/>
      <c r="C23" s="13">
        <f>112.45/109.71</f>
        <v/>
      </c>
      <c r="D23" s="4" t="n"/>
      <c r="E23" s="4" t="n"/>
      <c r="F23" s="4" t="n"/>
      <c r="G23" s="4" t="n"/>
    </row>
    <row r="24">
      <c r="A24" s="3" t="inlineStr">
        <is>
          <t>4. Reajuste IPC del Período (según mes presentación Julio 2026: +2.50%)</t>
        </is>
      </c>
      <c r="B24" s="4" t="n"/>
      <c r="C24" s="7">
        <f>C17*(C23-1)</f>
        <v/>
      </c>
      <c r="D24" s="4" t="n"/>
      <c r="E24" s="4" t="n"/>
      <c r="F24" s="4" t="n"/>
      <c r="G24" s="4" t="n"/>
    </row>
    <row r="25">
      <c r="A25" s="3" t="inlineStr">
        <is>
          <t>5. Monto Líquido del Período con Reajuste IPC (3 + 4)</t>
        </is>
      </c>
      <c r="B25" s="4" t="n"/>
      <c r="C25" s="7">
        <f>C17+C24</f>
        <v/>
      </c>
      <c r="D25" s="4" t="n"/>
      <c r="E25" s="4" t="n"/>
      <c r="F25" s="4" t="n"/>
      <c r="G25" s="4" t="n"/>
    </row>
    <row r="26">
      <c r="A26" s="9" t="inlineStr">
        <is>
          <t>--- DESCUENTOS Y RETENCIONES CONTRACTUALES ---</t>
        </is>
      </c>
      <c r="B26" s="10" t="n"/>
      <c r="C26" s="11" t="inlineStr"/>
      <c r="D26" s="10" t="n"/>
      <c r="E26" s="10" t="n"/>
      <c r="F26" s="10" t="n"/>
      <c r="G26" s="10" t="n"/>
    </row>
    <row r="27">
      <c r="A27" s="5" t="inlineStr">
        <is>
          <t>6. Retención de Garantía Contractual (5.0% sobre Monto con Reajuste)</t>
        </is>
      </c>
      <c r="B27" s="4" t="n"/>
      <c r="C27" s="8">
        <f>C25*0.05</f>
        <v/>
      </c>
      <c r="D27" s="4" t="n"/>
      <c r="E27" s="4" t="n"/>
      <c r="F27" s="4" t="n"/>
      <c r="G27" s="4" t="n"/>
    </row>
    <row r="28">
      <c r="A28" s="5" t="inlineStr">
        <is>
          <t>7. Devolución de Anticipo (si aplica)</t>
        </is>
      </c>
      <c r="B28" s="4" t="n"/>
      <c r="C28" s="8" t="n">
        <v>0</v>
      </c>
      <c r="D28" s="4" t="n"/>
      <c r="E28" s="4" t="n"/>
      <c r="F28" s="4" t="n"/>
      <c r="G28" s="4" t="n"/>
    </row>
    <row r="29">
      <c r="A29" s="14" t="inlineStr">
        <is>
          <t>8. TOTAL LÍQUIDO A FACTURAR EN EL PERÍODO N° 2 (sin IVA) (5 - 6 - 7)</t>
        </is>
      </c>
      <c r="B29" s="15" t="n"/>
      <c r="C29" s="16">
        <f>C25-C27-C28</f>
        <v/>
      </c>
      <c r="D29" s="15" t="n"/>
      <c r="E29" s="15" t="n"/>
      <c r="F29" s="15" t="n"/>
      <c r="G29" s="15" t="n"/>
    </row>
    <row r="30">
      <c r="A30" s="5" t="inlineStr">
        <is>
          <t>9. Impuesto al Valor Agregado (IVA 19%)</t>
        </is>
      </c>
      <c r="B30" s="4" t="n"/>
      <c r="C30" s="8">
        <f>C29*0.19</f>
        <v/>
      </c>
      <c r="D30" s="4" t="n"/>
      <c r="E30" s="4" t="n"/>
      <c r="F30" s="4" t="n"/>
      <c r="G30" s="4" t="n"/>
    </row>
    <row r="31">
      <c r="A31" s="14" t="inlineStr">
        <is>
          <t>10. TOTAL A PAGAR ESTADO DE PAGO N° 2 (con IVA)</t>
        </is>
      </c>
      <c r="B31" s="15" t="n"/>
      <c r="C31" s="16">
        <f>C29+C30</f>
        <v/>
      </c>
      <c r="D31" s="15" t="n"/>
      <c r="E31" s="15" t="n"/>
      <c r="F31" s="15" t="n"/>
      <c r="G31" s="15" t="n"/>
    </row>
  </sheetData>
  <mergeCells count="55">
    <mergeCell ref="A14:G14"/>
    <mergeCell ref="D18:G18"/>
    <mergeCell ref="A24:B24"/>
    <mergeCell ref="A30:B30"/>
    <mergeCell ref="A15:B15"/>
    <mergeCell ref="C6:G6"/>
    <mergeCell ref="D25:G25"/>
    <mergeCell ref="A11:B11"/>
    <mergeCell ref="D24:G24"/>
    <mergeCell ref="C5:G5"/>
    <mergeCell ref="D30:G30"/>
    <mergeCell ref="D15:G15"/>
    <mergeCell ref="D29:G29"/>
    <mergeCell ref="A6:B6"/>
    <mergeCell ref="D23:G23"/>
    <mergeCell ref="C4:G4"/>
    <mergeCell ref="A16:B16"/>
    <mergeCell ref="D26:G26"/>
    <mergeCell ref="A7:B7"/>
    <mergeCell ref="A25:B25"/>
    <mergeCell ref="C10:G10"/>
    <mergeCell ref="D20:G20"/>
    <mergeCell ref="D19:G19"/>
    <mergeCell ref="A18:B18"/>
    <mergeCell ref="A27:B27"/>
    <mergeCell ref="C9:G9"/>
    <mergeCell ref="A12:B12"/>
    <mergeCell ref="D22:G22"/>
    <mergeCell ref="A26:B26"/>
    <mergeCell ref="A21:B21"/>
    <mergeCell ref="D31:G31"/>
    <mergeCell ref="A1:G1"/>
    <mergeCell ref="C12:G12"/>
    <mergeCell ref="A5:B5"/>
    <mergeCell ref="C11:G11"/>
    <mergeCell ref="D21:G21"/>
    <mergeCell ref="A17:B17"/>
    <mergeCell ref="A23:B23"/>
    <mergeCell ref="D27:G27"/>
    <mergeCell ref="C8:G8"/>
    <mergeCell ref="A8:B8"/>
    <mergeCell ref="A22:B22"/>
    <mergeCell ref="A4:B4"/>
    <mergeCell ref="A20:B20"/>
    <mergeCell ref="C7:G7"/>
    <mergeCell ref="D17:G17"/>
    <mergeCell ref="A29:B29"/>
    <mergeCell ref="A19:B19"/>
    <mergeCell ref="A10:B10"/>
    <mergeCell ref="D16:G16"/>
    <mergeCell ref="A28:B28"/>
    <mergeCell ref="A2:G2"/>
    <mergeCell ref="A9:B9"/>
    <mergeCell ref="A31:B31"/>
    <mergeCell ref="D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8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  <col width="18" customWidth="1" min="9" max="9"/>
    <col width="14" customWidth="1" min="10" max="10"/>
    <col width="15" customWidth="1" min="11" max="11"/>
  </cols>
  <sheetData>
    <row r="1" ht="24" customHeight="1">
      <c r="A1" s="1" t="inlineStr">
        <is>
          <t>DETALLE DE PARTIDAS EJECUTADAS — ESTADO DE PAGO N° 2 (35% AVANCE)</t>
        </is>
      </c>
    </row>
    <row r="2" ht="18" customHeight="1">
      <c r="A2" s="2" t="inlineStr">
        <is>
          <t>Fecha de Corte: 16 de junio de 2026 | Valores en CLP (Costo Directo + GG 15.27% + Utilidad 9.00%)</t>
        </is>
      </c>
    </row>
    <row r="4" ht="28" customHeight="1">
      <c r="A4" s="17" t="inlineStr">
        <is>
          <t>Ítem</t>
        </is>
      </c>
      <c r="B4" s="17" t="inlineStr">
        <is>
          <t>Descripción de la Partida</t>
        </is>
      </c>
      <c r="C4" s="17" t="inlineStr">
        <is>
          <t>Unid.</t>
        </is>
      </c>
      <c r="D4" s="17" t="inlineStr">
        <is>
          <t>Cantidad Contrato</t>
        </is>
      </c>
      <c r="E4" s="17" t="inlineStr">
        <is>
          <t>PU Venta ($)</t>
        </is>
      </c>
      <c r="F4" s="17" t="inlineStr">
        <is>
          <t>Cant. Acum. Anterior (EP1)</t>
        </is>
      </c>
      <c r="G4" s="17" t="inlineStr">
        <is>
          <t>Cant. Presente Período</t>
        </is>
      </c>
      <c r="H4" s="17" t="inlineStr">
        <is>
          <t>Cant. Acumulada a la Fecha</t>
        </is>
      </c>
      <c r="I4" s="17" t="inlineStr">
        <is>
          <t>Monto Acumulado a la Fecha ($)</t>
        </is>
      </c>
      <c r="J4" s="17" t="inlineStr">
        <is>
          <t>% Avance Partida</t>
        </is>
      </c>
      <c r="K4" s="17" t="inlineStr">
        <is>
          <t>Saldo por Ejecutar</t>
        </is>
      </c>
    </row>
    <row r="5" ht="19" customHeight="1">
      <c r="A5" s="18" t="inlineStr">
        <is>
          <t>1.1</t>
        </is>
      </c>
      <c r="B5" s="19" t="inlineStr">
        <is>
          <t>Excavación en TCN Caminos</t>
        </is>
      </c>
      <c r="C5" s="18" t="inlineStr">
        <is>
          <t>m3</t>
        </is>
      </c>
      <c r="D5" s="20" t="n">
        <v>466</v>
      </c>
      <c r="E5" s="21" t="n">
        <v>6834.877500000001</v>
      </c>
      <c r="F5" s="20">
        <f>'Detalle EP N°1'!G5</f>
        <v/>
      </c>
      <c r="G5" s="20" t="n">
        <v>0</v>
      </c>
      <c r="H5" s="20">
        <f>F5+G5</f>
        <v/>
      </c>
      <c r="I5" s="21">
        <f>H5*E5</f>
        <v/>
      </c>
      <c r="J5" s="22">
        <f>H5/D5</f>
        <v/>
      </c>
      <c r="K5" s="20">
        <f>D5-H5</f>
        <v/>
      </c>
    </row>
    <row r="6" ht="19" customHeight="1">
      <c r="A6" s="18" t="inlineStr">
        <is>
          <t>1.2</t>
        </is>
      </c>
      <c r="B6" s="19" t="inlineStr">
        <is>
          <t>Excavación en TCN Bodegas</t>
        </is>
      </c>
      <c r="C6" s="18" t="inlineStr">
        <is>
          <t>m3</t>
        </is>
      </c>
      <c r="D6" s="20" t="n">
        <v>20354</v>
      </c>
      <c r="E6" s="21" t="n">
        <v>6834.877500000001</v>
      </c>
      <c r="F6" s="20">
        <f>'Detalle EP N°1'!G6</f>
        <v/>
      </c>
      <c r="G6" s="20" t="n">
        <v>0</v>
      </c>
      <c r="H6" s="20">
        <f>F6+G6</f>
        <v/>
      </c>
      <c r="I6" s="21">
        <f>H6*E6</f>
        <v/>
      </c>
      <c r="J6" s="22">
        <f>H6/D6</f>
        <v/>
      </c>
      <c r="K6" s="20">
        <f>D6-H6</f>
        <v/>
      </c>
    </row>
    <row r="7" ht="19" customHeight="1">
      <c r="A7" s="18" t="inlineStr">
        <is>
          <t>1.3</t>
        </is>
      </c>
      <c r="B7" s="19" t="inlineStr">
        <is>
          <t>Mejoramiento Fundaciones con integral natural (1,5 m.)</t>
        </is>
      </c>
      <c r="C7" s="18" t="inlineStr">
        <is>
          <t>m3</t>
        </is>
      </c>
      <c r="D7" s="20" t="n">
        <v>7740</v>
      </c>
      <c r="E7" s="21" t="n">
        <v>22368.69</v>
      </c>
      <c r="F7" s="20">
        <f>'Detalle EP N°1'!G7</f>
        <v/>
      </c>
      <c r="G7" s="20" t="n">
        <v>0</v>
      </c>
      <c r="H7" s="20">
        <f>F7+G7</f>
        <v/>
      </c>
      <c r="I7" s="21">
        <f>H7*E7</f>
        <v/>
      </c>
      <c r="J7" s="22">
        <f>H7/D7</f>
        <v/>
      </c>
      <c r="K7" s="20">
        <f>D7-H7</f>
        <v/>
      </c>
    </row>
    <row r="8" ht="19" customHeight="1">
      <c r="A8" s="18" t="inlineStr">
        <is>
          <t>1.4</t>
        </is>
      </c>
      <c r="B8" s="19" t="inlineStr">
        <is>
          <t>Mejoramiento Fundaciones con integral natural (0,5 m.)</t>
        </is>
      </c>
      <c r="C8" s="18" t="inlineStr">
        <is>
          <t>m3</t>
        </is>
      </c>
      <c r="D8" s="20" t="n">
        <v>2944</v>
      </c>
      <c r="E8" s="21" t="n">
        <v>22368.69</v>
      </c>
      <c r="F8" s="20">
        <f>'Detalle EP N°1'!G8</f>
        <v/>
      </c>
      <c r="G8" s="20" t="n">
        <v>0</v>
      </c>
      <c r="H8" s="20">
        <f>F8+G8</f>
        <v/>
      </c>
      <c r="I8" s="21">
        <f>H8*E8</f>
        <v/>
      </c>
      <c r="J8" s="22">
        <f>H8/D8</f>
        <v/>
      </c>
      <c r="K8" s="20">
        <f>D8-H8</f>
        <v/>
      </c>
    </row>
    <row r="9" ht="19" customHeight="1">
      <c r="A9" s="18" t="inlineStr">
        <is>
          <t>1.5</t>
        </is>
      </c>
      <c r="B9" s="19" t="inlineStr">
        <is>
          <t>Relleno Estructural bajo 2" (Fundaciones a Subrasante)</t>
        </is>
      </c>
      <c r="C9" s="18" t="inlineStr">
        <is>
          <t>m3</t>
        </is>
      </c>
      <c r="D9" s="20" t="n">
        <v>2198</v>
      </c>
      <c r="E9" s="21" t="n">
        <v>24854.1</v>
      </c>
      <c r="F9" s="20">
        <f>'Detalle EP N°1'!G9</f>
        <v/>
      </c>
      <c r="G9" s="20" t="n">
        <v>2198</v>
      </c>
      <c r="H9" s="20">
        <f>F9+G9</f>
        <v/>
      </c>
      <c r="I9" s="21">
        <f>H9*E9</f>
        <v/>
      </c>
      <c r="J9" s="22">
        <f>H9/D9</f>
        <v/>
      </c>
      <c r="K9" s="20">
        <f>D9-H9</f>
        <v/>
      </c>
    </row>
    <row r="10" ht="19" customHeight="1">
      <c r="A10" s="18" t="inlineStr">
        <is>
          <t>1.6</t>
        </is>
      </c>
      <c r="B10" s="19" t="inlineStr">
        <is>
          <t>Relleno Estructural bajo 6" (Fundaciones a Subrasante)</t>
        </is>
      </c>
      <c r="C10" s="18" t="inlineStr">
        <is>
          <t>m3</t>
        </is>
      </c>
      <c r="D10" s="20" t="n">
        <v>3299</v>
      </c>
      <c r="E10" s="21" t="n">
        <v>24854.1</v>
      </c>
      <c r="F10" s="20">
        <f>'Detalle EP N°1'!G10</f>
        <v/>
      </c>
      <c r="G10" s="20" t="n">
        <v>3299</v>
      </c>
      <c r="H10" s="20">
        <f>F10+G10</f>
        <v/>
      </c>
      <c r="I10" s="21">
        <f>H10*E10</f>
        <v/>
      </c>
      <c r="J10" s="22">
        <f>H10/D10</f>
        <v/>
      </c>
      <c r="K10" s="20">
        <f>D10-H10</f>
        <v/>
      </c>
    </row>
    <row r="11" ht="19" customHeight="1">
      <c r="A11" s="27" t="inlineStr">
        <is>
          <t>1.7</t>
        </is>
      </c>
      <c r="B11" s="28" t="inlineStr">
        <is>
          <t>Relleno Estructural bajo 2" Bodegas, Oficinas, VF</t>
        </is>
      </c>
      <c r="C11" s="27" t="inlineStr">
        <is>
          <t>m3</t>
        </is>
      </c>
      <c r="D11" s="29" t="n">
        <v>3398</v>
      </c>
      <c r="E11" s="30" t="n">
        <v>24854.1</v>
      </c>
      <c r="F11" s="29">
        <f>'Detalle EP N°1'!G11</f>
        <v/>
      </c>
      <c r="G11" s="29" t="n">
        <v>1456.285714285714</v>
      </c>
      <c r="H11" s="29">
        <f>F11+G11</f>
        <v/>
      </c>
      <c r="I11" s="30">
        <f>H11*E11</f>
        <v/>
      </c>
      <c r="J11" s="31">
        <f>H11/D11</f>
        <v/>
      </c>
      <c r="K11" s="29">
        <f>D11-H11</f>
        <v/>
      </c>
    </row>
    <row r="12" ht="19" customHeight="1">
      <c r="A12" s="18" t="inlineStr">
        <is>
          <t>1.8</t>
        </is>
      </c>
      <c r="B12" s="19" t="inlineStr">
        <is>
          <t>Terraplén caminos y areas de servicio</t>
        </is>
      </c>
      <c r="C12" s="18" t="inlineStr">
        <is>
          <t>m3</t>
        </is>
      </c>
      <c r="D12" s="20" t="n">
        <v>1955</v>
      </c>
      <c r="E12" s="21" t="n">
        <v>6213.525000000001</v>
      </c>
      <c r="F12" s="20">
        <f>'Detalle EP N°1'!G12</f>
        <v/>
      </c>
      <c r="G12" s="20" t="n">
        <v>0</v>
      </c>
      <c r="H12" s="20">
        <f>F12+G12</f>
        <v/>
      </c>
      <c r="I12" s="21">
        <f>H12*E12</f>
        <v/>
      </c>
      <c r="J12" s="22">
        <f>H12/D12</f>
        <v/>
      </c>
      <c r="K12" s="20">
        <f>D12-H12</f>
        <v/>
      </c>
    </row>
    <row r="13" ht="19" customHeight="1">
      <c r="A13" s="18" t="inlineStr">
        <is>
          <t>1.9</t>
        </is>
      </c>
      <c r="B13" s="19" t="inlineStr">
        <is>
          <t>Terraplén bajo radier bodegas</t>
        </is>
      </c>
      <c r="C13" s="18" t="inlineStr">
        <is>
          <t>m3</t>
        </is>
      </c>
      <c r="D13" s="20" t="n">
        <v>1699</v>
      </c>
      <c r="E13" s="21" t="n">
        <v>6213.525000000001</v>
      </c>
      <c r="F13" s="20">
        <f>'Detalle EP N°1'!G13</f>
        <v/>
      </c>
      <c r="G13" s="20" t="n">
        <v>1699</v>
      </c>
      <c r="H13" s="20">
        <f>F13+G13</f>
        <v/>
      </c>
      <c r="I13" s="21">
        <f>H13*E13</f>
        <v/>
      </c>
      <c r="J13" s="22">
        <f>H13/D13</f>
        <v/>
      </c>
      <c r="K13" s="20">
        <f>D13-H13</f>
        <v/>
      </c>
    </row>
    <row r="14" ht="19" customHeight="1">
      <c r="A14" s="18" t="inlineStr">
        <is>
          <t>1.10</t>
        </is>
      </c>
      <c r="B14" s="19" t="inlineStr">
        <is>
          <t>Preparación de la Subrasante Bodegas</t>
        </is>
      </c>
      <c r="C14" s="18" t="inlineStr">
        <is>
          <t>m2</t>
        </is>
      </c>
      <c r="D14" s="20" t="n">
        <v>16024</v>
      </c>
      <c r="E14" s="21" t="n">
        <v>1864.0575</v>
      </c>
      <c r="F14" s="20">
        <f>'Detalle EP N°1'!G14</f>
        <v/>
      </c>
      <c r="G14" s="20" t="n">
        <v>2289.142857142859</v>
      </c>
      <c r="H14" s="20">
        <f>F14+G14</f>
        <v/>
      </c>
      <c r="I14" s="21">
        <f>H14*E14</f>
        <v/>
      </c>
      <c r="J14" s="22">
        <f>H14/D14</f>
        <v/>
      </c>
      <c r="K14" s="20">
        <f>D14-H14</f>
        <v/>
      </c>
    </row>
    <row r="15" ht="19" customHeight="1">
      <c r="A15" s="18" t="inlineStr">
        <is>
          <t>1.11</t>
        </is>
      </c>
      <c r="B15" s="19" t="inlineStr">
        <is>
          <t>Preparación de la Subrasante Caminos y Areas de Servicio</t>
        </is>
      </c>
      <c r="C15" s="18" t="inlineStr">
        <is>
          <t>m2</t>
        </is>
      </c>
      <c r="D15" s="20" t="n">
        <v>9756</v>
      </c>
      <c r="E15" s="21" t="n">
        <v>1864.0575</v>
      </c>
      <c r="F15" s="20">
        <f>'Detalle EP N°1'!G15</f>
        <v/>
      </c>
      <c r="G15" s="20" t="n">
        <v>0</v>
      </c>
      <c r="H15" s="20">
        <f>F15+G15</f>
        <v/>
      </c>
      <c r="I15" s="21">
        <f>H15*E15</f>
        <v/>
      </c>
      <c r="J15" s="22">
        <f>H15/D15</f>
        <v/>
      </c>
      <c r="K15" s="20">
        <f>D15-H15</f>
        <v/>
      </c>
    </row>
    <row r="16" ht="19" customHeight="1">
      <c r="A16" s="18" t="inlineStr">
        <is>
          <t>1.12</t>
        </is>
      </c>
      <c r="B16" s="19" t="inlineStr">
        <is>
          <t>Base Granular Caminos</t>
        </is>
      </c>
      <c r="C16" s="18" t="inlineStr">
        <is>
          <t>m3</t>
        </is>
      </c>
      <c r="D16" s="20" t="n">
        <v>1965</v>
      </c>
      <c r="E16" s="21" t="n">
        <v>26718.1575</v>
      </c>
      <c r="F16" s="20">
        <f>'Detalle EP N°1'!G16</f>
        <v/>
      </c>
      <c r="G16" s="20" t="n">
        <v>0</v>
      </c>
      <c r="H16" s="20">
        <f>F16+G16</f>
        <v/>
      </c>
      <c r="I16" s="21">
        <f>H16*E16</f>
        <v/>
      </c>
      <c r="J16" s="22">
        <f>H16/D16</f>
        <v/>
      </c>
      <c r="K16" s="20">
        <f>D16-H16</f>
        <v/>
      </c>
    </row>
    <row r="17" ht="19" customHeight="1">
      <c r="A17" s="23" t="inlineStr">
        <is>
          <t>1.13</t>
        </is>
      </c>
      <c r="B17" s="5" t="inlineStr">
        <is>
          <t>Base Granular Bodegas</t>
        </is>
      </c>
      <c r="C17" s="23" t="inlineStr">
        <is>
          <t>m3</t>
        </is>
      </c>
      <c r="D17" s="24" t="n">
        <v>3204</v>
      </c>
      <c r="E17" s="25" t="n">
        <v>26718.1575</v>
      </c>
      <c r="F17" s="24">
        <f>'Detalle EP N°1'!G17</f>
        <v/>
      </c>
      <c r="G17" s="24" t="n">
        <v>0</v>
      </c>
      <c r="H17" s="24">
        <f>F17+G17</f>
        <v/>
      </c>
      <c r="I17" s="25">
        <f>H17*E17</f>
        <v/>
      </c>
      <c r="J17" s="26">
        <f>H17/D17</f>
        <v/>
      </c>
      <c r="K17" s="24">
        <f>D17-H17</f>
        <v/>
      </c>
    </row>
    <row r="18" ht="19" customHeight="1">
      <c r="A18" s="23" t="inlineStr">
        <is>
          <t>1.14</t>
        </is>
      </c>
      <c r="B18" s="5" t="inlineStr">
        <is>
          <t>Hormigón G-25 radier (malla acma C-92)</t>
        </is>
      </c>
      <c r="C18" s="23" t="inlineStr">
        <is>
          <t>m3</t>
        </is>
      </c>
      <c r="D18" s="24" t="n">
        <v>2403</v>
      </c>
      <c r="E18" s="25" t="n">
        <v>208774.44</v>
      </c>
      <c r="F18" s="24">
        <f>'Detalle EP N°1'!G18</f>
        <v/>
      </c>
      <c r="G18" s="24" t="n">
        <v>0</v>
      </c>
      <c r="H18" s="24">
        <f>F18+G18</f>
        <v/>
      </c>
      <c r="I18" s="25">
        <f>H18*E18</f>
        <v/>
      </c>
      <c r="J18" s="26">
        <f>H18/D18</f>
        <v/>
      </c>
      <c r="K18" s="24">
        <f>D18-H18</f>
        <v/>
      </c>
    </row>
    <row r="19" ht="19" customHeight="1">
      <c r="A19" s="18" t="inlineStr">
        <is>
          <t>1.15</t>
        </is>
      </c>
      <c r="B19" s="19" t="inlineStr">
        <is>
          <t>Hormigón G-35 calles</t>
        </is>
      </c>
      <c r="C19" s="18" t="inlineStr">
        <is>
          <t>m3</t>
        </is>
      </c>
      <c r="D19" s="20" t="n">
        <v>1758</v>
      </c>
      <c r="E19" s="21" t="n">
        <v>192619.275</v>
      </c>
      <c r="F19" s="20">
        <f>'Detalle EP N°1'!G19</f>
        <v/>
      </c>
      <c r="G19" s="20" t="n">
        <v>1598.181818181818</v>
      </c>
      <c r="H19" s="20">
        <f>F19+G19</f>
        <v/>
      </c>
      <c r="I19" s="21">
        <f>H19*E19</f>
        <v/>
      </c>
      <c r="J19" s="22">
        <f>H19/D19</f>
        <v/>
      </c>
      <c r="K19" s="20">
        <f>D19-H19</f>
        <v/>
      </c>
    </row>
    <row r="20" ht="19" customHeight="1">
      <c r="A20" s="18" t="inlineStr">
        <is>
          <t>1.16</t>
        </is>
      </c>
      <c r="B20" s="19" t="inlineStr">
        <is>
          <t>Hormigón G-25 Fundaciones Zapatas Bodegas y Oficinas</t>
        </is>
      </c>
      <c r="C20" s="18" t="inlineStr">
        <is>
          <t>m3</t>
        </is>
      </c>
      <c r="D20" s="20" t="n">
        <v>891</v>
      </c>
      <c r="E20" s="21" t="n">
        <v>205046.325</v>
      </c>
      <c r="F20" s="20">
        <f>'Detalle EP N°1'!G20</f>
        <v/>
      </c>
      <c r="G20" s="20" t="n">
        <v>178.1999999999999</v>
      </c>
      <c r="H20" s="20">
        <f>F20+G20</f>
        <v/>
      </c>
      <c r="I20" s="21">
        <f>H20*E20</f>
        <v/>
      </c>
      <c r="J20" s="22">
        <f>H20/D20</f>
        <v/>
      </c>
      <c r="K20" s="20">
        <f>D20-H20</f>
        <v/>
      </c>
    </row>
    <row r="21" ht="19" customHeight="1">
      <c r="A21" s="18" t="inlineStr">
        <is>
          <t>1.17</t>
        </is>
      </c>
      <c r="B21" s="19" t="inlineStr">
        <is>
          <t>Hormigón G-04 Emplantillado Fundaciones</t>
        </is>
      </c>
      <c r="C21" s="18" t="inlineStr">
        <is>
          <t>m3</t>
        </is>
      </c>
      <c r="D21" s="20" t="n">
        <v>62</v>
      </c>
      <c r="E21" s="21" t="n">
        <v>136697.55</v>
      </c>
      <c r="F21" s="20">
        <f>'Detalle EP N°1'!G21</f>
        <v/>
      </c>
      <c r="G21" s="20" t="n">
        <v>0</v>
      </c>
      <c r="H21" s="20">
        <f>F21+G21</f>
        <v/>
      </c>
      <c r="I21" s="21">
        <f>H21*E21</f>
        <v/>
      </c>
      <c r="J21" s="22">
        <f>H21/D21</f>
        <v/>
      </c>
      <c r="K21" s="20">
        <f>D21-H21</f>
        <v/>
      </c>
    </row>
    <row r="22" ht="19" customHeight="1">
      <c r="A22" s="18" t="inlineStr">
        <is>
          <t>1.18</t>
        </is>
      </c>
      <c r="B22" s="19" t="inlineStr">
        <is>
          <t>Hormigón G-25 Vigas de Fundación</t>
        </is>
      </c>
      <c r="C22" s="18" t="inlineStr">
        <is>
          <t>m3</t>
        </is>
      </c>
      <c r="D22" s="20" t="n">
        <v>121</v>
      </c>
      <c r="E22" s="21" t="n">
        <v>211259.85</v>
      </c>
      <c r="F22" s="20">
        <f>'Detalle EP N°1'!G22</f>
        <v/>
      </c>
      <c r="G22" s="20" t="n">
        <v>48.40000000000001</v>
      </c>
      <c r="H22" s="20">
        <f>F22+G22</f>
        <v/>
      </c>
      <c r="I22" s="21">
        <f>H22*E22</f>
        <v/>
      </c>
      <c r="J22" s="22">
        <f>H22/D22</f>
        <v/>
      </c>
      <c r="K22" s="20">
        <f>D22-H22</f>
        <v/>
      </c>
    </row>
    <row r="23" ht="19" customHeight="1">
      <c r="A23" s="18" t="inlineStr">
        <is>
          <t>1.19</t>
        </is>
      </c>
      <c r="B23" s="19" t="inlineStr">
        <is>
          <t>Hormigón G-25 Pedestales Galpones y Oficinas</t>
        </is>
      </c>
      <c r="C23" s="18" t="inlineStr">
        <is>
          <t>m3</t>
        </is>
      </c>
      <c r="D23" s="20" t="n">
        <v>82</v>
      </c>
      <c r="E23" s="21" t="n">
        <v>229900.425</v>
      </c>
      <c r="F23" s="20">
        <f>'Detalle EP N°1'!G23</f>
        <v/>
      </c>
      <c r="G23" s="20" t="n">
        <v>82</v>
      </c>
      <c r="H23" s="20">
        <f>F23+G23</f>
        <v/>
      </c>
      <c r="I23" s="21">
        <f>H23*E23</f>
        <v/>
      </c>
      <c r="J23" s="22">
        <f>H23/D23</f>
        <v/>
      </c>
      <c r="K23" s="20">
        <f>D23-H23</f>
        <v/>
      </c>
    </row>
    <row r="24" ht="19" customHeight="1">
      <c r="A24" s="18" t="inlineStr">
        <is>
          <t>1.20</t>
        </is>
      </c>
      <c r="B24" s="19" t="inlineStr">
        <is>
          <t>Hormigón G-25 Muros Galpones y Oficinas</t>
        </is>
      </c>
      <c r="C24" s="18" t="inlineStr">
        <is>
          <t>m3</t>
        </is>
      </c>
      <c r="D24" s="20" t="n">
        <v>430</v>
      </c>
      <c r="E24" s="21" t="n">
        <v>217473.375</v>
      </c>
      <c r="F24" s="20">
        <f>'Detalle EP N°1'!G24</f>
        <v/>
      </c>
      <c r="G24" s="20" t="n">
        <v>430</v>
      </c>
      <c r="H24" s="20">
        <f>F24+G24</f>
        <v/>
      </c>
      <c r="I24" s="21">
        <f>H24*E24</f>
        <v/>
      </c>
      <c r="J24" s="22">
        <f>H24/D24</f>
        <v/>
      </c>
      <c r="K24" s="20">
        <f>D24-H24</f>
        <v/>
      </c>
    </row>
    <row r="25" ht="19" customHeight="1">
      <c r="A25" s="18" t="inlineStr">
        <is>
          <t>1.21</t>
        </is>
      </c>
      <c r="B25" s="19" t="inlineStr">
        <is>
          <t>Enfierradura Fundaciones Zapatas</t>
        </is>
      </c>
      <c r="C25" s="18" t="inlineStr">
        <is>
          <t>kg</t>
        </is>
      </c>
      <c r="D25" s="20" t="n">
        <v>42496</v>
      </c>
      <c r="E25" s="21" t="n">
        <v>1665.2247</v>
      </c>
      <c r="F25" s="20">
        <f>'Detalle EP N°1'!G25</f>
        <v/>
      </c>
      <c r="G25" s="20" t="n">
        <v>18887.11111111111</v>
      </c>
      <c r="H25" s="20">
        <f>F25+G25</f>
        <v/>
      </c>
      <c r="I25" s="21">
        <f>H25*E25</f>
        <v/>
      </c>
      <c r="J25" s="22">
        <f>H25/D25</f>
        <v/>
      </c>
      <c r="K25" s="20">
        <f>D25-H25</f>
        <v/>
      </c>
    </row>
    <row r="26" ht="19" customHeight="1">
      <c r="A26" s="18" t="inlineStr">
        <is>
          <t>1.22</t>
        </is>
      </c>
      <c r="B26" s="19" t="inlineStr">
        <is>
          <t>Enfierradura Vigas de Fundación</t>
        </is>
      </c>
      <c r="C26" s="18" t="inlineStr">
        <is>
          <t>kg</t>
        </is>
      </c>
      <c r="D26" s="20" t="n">
        <v>10277</v>
      </c>
      <c r="E26" s="21" t="n">
        <v>1665.2247</v>
      </c>
      <c r="F26" s="20">
        <f>'Detalle EP N°1'!G26</f>
        <v/>
      </c>
      <c r="G26" s="20" t="n">
        <v>4743.23076923077</v>
      </c>
      <c r="H26" s="20">
        <f>F26+G26</f>
        <v/>
      </c>
      <c r="I26" s="21">
        <f>H26*E26</f>
        <v/>
      </c>
      <c r="J26" s="22">
        <f>H26/D26</f>
        <v/>
      </c>
      <c r="K26" s="20">
        <f>D26-H26</f>
        <v/>
      </c>
    </row>
    <row r="27" ht="19" customHeight="1">
      <c r="A27" s="18" t="inlineStr">
        <is>
          <t>1.23</t>
        </is>
      </c>
      <c r="B27" s="19" t="inlineStr">
        <is>
          <t>Enfierradura Pedestales</t>
        </is>
      </c>
      <c r="C27" s="18" t="inlineStr">
        <is>
          <t>kg</t>
        </is>
      </c>
      <c r="D27" s="20" t="n">
        <v>21028</v>
      </c>
      <c r="E27" s="21" t="n">
        <v>1665.2247</v>
      </c>
      <c r="F27" s="20">
        <f>'Detalle EP N°1'!G27</f>
        <v/>
      </c>
      <c r="G27" s="20" t="n">
        <v>16522</v>
      </c>
      <c r="H27" s="20">
        <f>F27+G27</f>
        <v/>
      </c>
      <c r="I27" s="21">
        <f>H27*E27</f>
        <v/>
      </c>
      <c r="J27" s="22">
        <f>H27/D27</f>
        <v/>
      </c>
      <c r="K27" s="20">
        <f>D27-H27</f>
        <v/>
      </c>
    </row>
    <row r="28" ht="19" customHeight="1">
      <c r="A28" s="27" t="inlineStr">
        <is>
          <t>1.24</t>
        </is>
      </c>
      <c r="B28" s="28" t="inlineStr">
        <is>
          <t>Enfierradura Muros</t>
        </is>
      </c>
      <c r="C28" s="27" t="inlineStr">
        <is>
          <t>kg</t>
        </is>
      </c>
      <c r="D28" s="29" t="n">
        <v>23885</v>
      </c>
      <c r="E28" s="30" t="n">
        <v>1665.2247</v>
      </c>
      <c r="F28" s="29">
        <f>'Detalle EP N°1'!G28</f>
        <v/>
      </c>
      <c r="G28" s="29" t="n">
        <v>21645.78125</v>
      </c>
      <c r="H28" s="29">
        <f>F28+G28</f>
        <v/>
      </c>
      <c r="I28" s="30">
        <f>H28*E28</f>
        <v/>
      </c>
      <c r="J28" s="31">
        <f>H28/D28</f>
        <v/>
      </c>
      <c r="K28" s="29">
        <f>D28-H28</f>
        <v/>
      </c>
    </row>
    <row r="29" ht="19" customHeight="1">
      <c r="A29" s="18" t="inlineStr">
        <is>
          <t>1.25</t>
        </is>
      </c>
      <c r="B29" s="19" t="inlineStr">
        <is>
          <t>Demolición de Aceras</t>
        </is>
      </c>
      <c r="C29" s="18" t="inlineStr">
        <is>
          <t>m2</t>
        </is>
      </c>
      <c r="D29" s="20" t="n">
        <v>60</v>
      </c>
      <c r="E29" s="21" t="n">
        <v>5530.03725</v>
      </c>
      <c r="F29" s="20">
        <f>'Detalle EP N°1'!G29</f>
        <v/>
      </c>
      <c r="G29" s="20" t="n">
        <v>0</v>
      </c>
      <c r="H29" s="20">
        <f>F29+G29</f>
        <v/>
      </c>
      <c r="I29" s="21">
        <f>H29*E29</f>
        <v/>
      </c>
      <c r="J29" s="22">
        <f>H29/D29</f>
        <v/>
      </c>
      <c r="K29" s="20">
        <f>D29-H29</f>
        <v/>
      </c>
    </row>
    <row r="30" ht="19" customHeight="1">
      <c r="A30" s="18" t="inlineStr">
        <is>
          <t>1.26</t>
        </is>
      </c>
      <c r="B30" s="19" t="inlineStr">
        <is>
          <t>Remoción de Soleras</t>
        </is>
      </c>
      <c r="C30" s="18" t="inlineStr">
        <is>
          <t>m</t>
        </is>
      </c>
      <c r="D30" s="20" t="n">
        <v>45</v>
      </c>
      <c r="E30" s="21" t="n">
        <v>4349.467500000001</v>
      </c>
      <c r="F30" s="20">
        <f>'Detalle EP N°1'!G30</f>
        <v/>
      </c>
      <c r="G30" s="20" t="n">
        <v>0</v>
      </c>
      <c r="H30" s="20">
        <f>F30+G30</f>
        <v/>
      </c>
      <c r="I30" s="21">
        <f>H30*E30</f>
        <v/>
      </c>
      <c r="J30" s="22">
        <f>H30/D30</f>
        <v/>
      </c>
      <c r="K30" s="20">
        <f>D30-H30</f>
        <v/>
      </c>
    </row>
    <row r="31" ht="19" customHeight="1">
      <c r="A31" s="18" t="inlineStr">
        <is>
          <t>1.27</t>
        </is>
      </c>
      <c r="B31" s="19" t="inlineStr">
        <is>
          <t>Solera Tipo A</t>
        </is>
      </c>
      <c r="C31" s="18" t="inlineStr">
        <is>
          <t>m</t>
        </is>
      </c>
      <c r="D31" s="20" t="n">
        <v>1359</v>
      </c>
      <c r="E31" s="21" t="n">
        <v>16776.5175</v>
      </c>
      <c r="F31" s="20">
        <f>'Detalle EP N°1'!G31</f>
        <v/>
      </c>
      <c r="G31" s="20" t="n">
        <v>815.4</v>
      </c>
      <c r="H31" s="20">
        <f>F31+G31</f>
        <v/>
      </c>
      <c r="I31" s="21">
        <f>H31*E31</f>
        <v/>
      </c>
      <c r="J31" s="22">
        <f>H31/D31</f>
        <v/>
      </c>
      <c r="K31" s="20">
        <f>D31-H31</f>
        <v/>
      </c>
    </row>
    <row r="32" ht="19" customHeight="1">
      <c r="A32" s="27" t="inlineStr">
        <is>
          <t>2.1</t>
        </is>
      </c>
      <c r="B32" s="28" t="inlineStr">
        <is>
          <t>Estructura Metalica Montado y Pintado</t>
        </is>
      </c>
      <c r="C32" s="27" t="inlineStr">
        <is>
          <t>Kg</t>
        </is>
      </c>
      <c r="D32" s="29" t="n">
        <v>581078</v>
      </c>
      <c r="E32" s="30" t="n">
        <v>2485.41</v>
      </c>
      <c r="F32" s="29">
        <f>'Detalle EP N°1'!G32</f>
        <v/>
      </c>
      <c r="G32" s="29" t="n">
        <v>152413.9016393443</v>
      </c>
      <c r="H32" s="29">
        <f>F32+G32</f>
        <v/>
      </c>
      <c r="I32" s="30">
        <f>H32*E32</f>
        <v/>
      </c>
      <c r="J32" s="31">
        <f>H32/D32</f>
        <v/>
      </c>
      <c r="K32" s="29">
        <f>D32-H32</f>
        <v/>
      </c>
    </row>
    <row r="33" ht="19" customHeight="1">
      <c r="A33" s="23" t="inlineStr">
        <is>
          <t>2.2</t>
        </is>
      </c>
      <c r="B33" s="5" t="inlineStr">
        <is>
          <t>Aislación</t>
        </is>
      </c>
      <c r="C33" s="23" t="inlineStr">
        <is>
          <t>m2</t>
        </is>
      </c>
      <c r="D33" s="24" t="n">
        <v>15319</v>
      </c>
      <c r="E33" s="25" t="n">
        <v>5592.172500000001</v>
      </c>
      <c r="F33" s="24">
        <f>'Detalle EP N°1'!G33</f>
        <v/>
      </c>
      <c r="G33" s="24" t="n">
        <v>0</v>
      </c>
      <c r="H33" s="24">
        <f>F33+G33</f>
        <v/>
      </c>
      <c r="I33" s="25">
        <f>H33*E33</f>
        <v/>
      </c>
      <c r="J33" s="26">
        <f>H33/D33</f>
        <v/>
      </c>
      <c r="K33" s="24">
        <f>D33-H33</f>
        <v/>
      </c>
    </row>
    <row r="34" ht="19" customHeight="1">
      <c r="A34" s="23" t="inlineStr">
        <is>
          <t>2.3</t>
        </is>
      </c>
      <c r="B34" s="5" t="inlineStr">
        <is>
          <t>Divisiones interiores bodegas</t>
        </is>
      </c>
      <c r="C34" s="23" t="inlineStr">
        <is>
          <t>m2</t>
        </is>
      </c>
      <c r="D34" s="24" t="n">
        <v>7626</v>
      </c>
      <c r="E34" s="25" t="n">
        <v>33553.035</v>
      </c>
      <c r="F34" s="24">
        <f>'Detalle EP N°1'!G34</f>
        <v/>
      </c>
      <c r="G34" s="24" t="n">
        <v>0</v>
      </c>
      <c r="H34" s="24">
        <f>F34+G34</f>
        <v/>
      </c>
      <c r="I34" s="25">
        <f>H34*E34</f>
        <v/>
      </c>
      <c r="J34" s="26">
        <f>H34/D34</f>
        <v/>
      </c>
      <c r="K34" s="24">
        <f>D34-H34</f>
        <v/>
      </c>
    </row>
    <row r="35" ht="19" customHeight="1">
      <c r="A35" s="23" t="inlineStr">
        <is>
          <t>2.4</t>
        </is>
      </c>
      <c r="B35" s="5" t="inlineStr">
        <is>
          <t>Oficinas</t>
        </is>
      </c>
      <c r="C35" s="23" t="inlineStr">
        <is>
          <t>m2</t>
        </is>
      </c>
      <c r="D35" s="24" t="n">
        <v>2211</v>
      </c>
      <c r="E35" s="25" t="n">
        <v>621352.5000000001</v>
      </c>
      <c r="F35" s="24">
        <f>'Detalle EP N°1'!G35</f>
        <v/>
      </c>
      <c r="G35" s="24" t="n">
        <v>0</v>
      </c>
      <c r="H35" s="24">
        <f>F35+G35</f>
        <v/>
      </c>
      <c r="I35" s="25">
        <f>H35*E35</f>
        <v/>
      </c>
      <c r="J35" s="26">
        <f>H35/D35</f>
        <v/>
      </c>
      <c r="K35" s="24">
        <f>D35-H35</f>
        <v/>
      </c>
    </row>
    <row r="36" ht="19" customHeight="1">
      <c r="A36" s="18" t="inlineStr">
        <is>
          <t>2.5</t>
        </is>
      </c>
      <c r="B36" s="19" t="inlineStr">
        <is>
          <t>Drenes (CuboDren)</t>
        </is>
      </c>
      <c r="C36" s="18" t="inlineStr">
        <is>
          <t>m3</t>
        </is>
      </c>
      <c r="D36" s="20" t="n">
        <v>581</v>
      </c>
      <c r="E36" s="21" t="n">
        <v>59649.84000000001</v>
      </c>
      <c r="F36" s="20">
        <f>'Detalle EP N°1'!G36</f>
        <v/>
      </c>
      <c r="G36" s="20" t="n">
        <v>0</v>
      </c>
      <c r="H36" s="20">
        <f>F36+G36</f>
        <v/>
      </c>
      <c r="I36" s="21">
        <f>H36*E36</f>
        <v/>
      </c>
      <c r="J36" s="22">
        <f>H36/D36</f>
        <v/>
      </c>
      <c r="K36" s="20">
        <f>D36-H36</f>
        <v/>
      </c>
    </row>
    <row r="37" ht="19" customHeight="1">
      <c r="A37" s="23" t="inlineStr">
        <is>
          <t>2.6</t>
        </is>
      </c>
      <c r="B37" s="5" t="inlineStr">
        <is>
          <t>Portones Bodegas</t>
        </is>
      </c>
      <c r="C37" s="23" t="inlineStr">
        <is>
          <t>N°</t>
        </is>
      </c>
      <c r="D37" s="24" t="n">
        <v>32</v>
      </c>
      <c r="E37" s="25" t="n">
        <v>2236869</v>
      </c>
      <c r="F37" s="24">
        <f>'Detalle EP N°1'!G37</f>
        <v/>
      </c>
      <c r="G37" s="24" t="n">
        <v>0</v>
      </c>
      <c r="H37" s="24">
        <f>F37+G37</f>
        <v/>
      </c>
      <c r="I37" s="25">
        <f>H37*E37</f>
        <v/>
      </c>
      <c r="J37" s="26">
        <f>H37/D37</f>
        <v/>
      </c>
      <c r="K37" s="24">
        <f>D37-H37</f>
        <v/>
      </c>
    </row>
    <row r="38" ht="19" customHeight="1">
      <c r="A38" s="23" t="inlineStr">
        <is>
          <t>2.7</t>
        </is>
      </c>
      <c r="B38" s="5" t="inlineStr">
        <is>
          <t>Puertas exteriores</t>
        </is>
      </c>
      <c r="C38" s="23" t="inlineStr">
        <is>
          <t>N°</t>
        </is>
      </c>
      <c r="D38" s="24" t="n">
        <v>32</v>
      </c>
      <c r="E38" s="25" t="n">
        <v>434946.7500000001</v>
      </c>
      <c r="F38" s="24">
        <f>'Detalle EP N°1'!G38</f>
        <v/>
      </c>
      <c r="G38" s="24" t="n">
        <v>0</v>
      </c>
      <c r="H38" s="24">
        <f>F38+G38</f>
        <v/>
      </c>
      <c r="I38" s="25">
        <f>H38*E38</f>
        <v/>
      </c>
      <c r="J38" s="26">
        <f>H38/D38</f>
        <v/>
      </c>
      <c r="K38" s="24">
        <f>D38-H38</f>
        <v/>
      </c>
    </row>
    <row r="39" ht="19" customHeight="1">
      <c r="A39" s="23" t="inlineStr">
        <is>
          <t>2.8</t>
        </is>
      </c>
      <c r="B39" s="5" t="inlineStr">
        <is>
          <t>Muros cortinas, ventanas y puertas vidriadas</t>
        </is>
      </c>
      <c r="C39" s="23" t="inlineStr">
        <is>
          <t>m2</t>
        </is>
      </c>
      <c r="D39" s="24" t="n">
        <v>781</v>
      </c>
      <c r="E39" s="25" t="n">
        <v>219958.785</v>
      </c>
      <c r="F39" s="24">
        <f>'Detalle EP N°1'!G39</f>
        <v/>
      </c>
      <c r="G39" s="24" t="n">
        <v>0</v>
      </c>
      <c r="H39" s="24">
        <f>F39+G39</f>
        <v/>
      </c>
      <c r="I39" s="25">
        <f>H39*E39</f>
        <v/>
      </c>
      <c r="J39" s="26">
        <f>H39/D39</f>
        <v/>
      </c>
      <c r="K39" s="24">
        <f>D39-H39</f>
        <v/>
      </c>
    </row>
    <row r="40" ht="19" customHeight="1">
      <c r="A40" s="18" t="inlineStr">
        <is>
          <t>2.9</t>
        </is>
      </c>
      <c r="B40" s="19" t="inlineStr">
        <is>
          <t>Porteria Acogida, bicicletero y barrera acceso</t>
        </is>
      </c>
      <c r="C40" s="18" t="inlineStr">
        <is>
          <t>m2</t>
        </is>
      </c>
      <c r="D40" s="20" t="n">
        <v>58</v>
      </c>
      <c r="E40" s="21" t="n">
        <v>745623.0000000001</v>
      </c>
      <c r="F40" s="20">
        <f>'Detalle EP N°1'!G40</f>
        <v/>
      </c>
      <c r="G40" s="20" t="n">
        <v>23.2</v>
      </c>
      <c r="H40" s="20">
        <f>F40+G40</f>
        <v/>
      </c>
      <c r="I40" s="21">
        <f>H40*E40</f>
        <v/>
      </c>
      <c r="J40" s="22">
        <f>H40/D40</f>
        <v/>
      </c>
      <c r="K40" s="20">
        <f>D40-H40</f>
        <v/>
      </c>
    </row>
    <row r="41" ht="19" customHeight="1">
      <c r="A41" s="27" t="inlineStr">
        <is>
          <t>2.10</t>
        </is>
      </c>
      <c r="B41" s="28" t="inlineStr">
        <is>
          <t>Sala electrica</t>
        </is>
      </c>
      <c r="C41" s="27" t="inlineStr">
        <is>
          <t>m2</t>
        </is>
      </c>
      <c r="D41" s="29" t="n">
        <v>35</v>
      </c>
      <c r="E41" s="30" t="n">
        <v>869893.5000000001</v>
      </c>
      <c r="F41" s="29">
        <f>'Detalle EP N°1'!G41</f>
        <v/>
      </c>
      <c r="G41" s="29" t="n">
        <v>1.75</v>
      </c>
      <c r="H41" s="29">
        <f>F41+G41</f>
        <v/>
      </c>
      <c r="I41" s="30">
        <f>H41*E41</f>
        <v/>
      </c>
      <c r="J41" s="31">
        <f>H41/D41</f>
        <v/>
      </c>
      <c r="K41" s="29">
        <f>D41-H41</f>
        <v/>
      </c>
    </row>
    <row r="42" ht="19" customHeight="1">
      <c r="A42" s="27" t="inlineStr">
        <is>
          <t>2.11</t>
        </is>
      </c>
      <c r="B42" s="28" t="inlineStr">
        <is>
          <t>Sala agua potable</t>
        </is>
      </c>
      <c r="C42" s="27" t="inlineStr">
        <is>
          <t>m2</t>
        </is>
      </c>
      <c r="D42" s="29" t="n">
        <v>22</v>
      </c>
      <c r="E42" s="30" t="n">
        <v>807758.2500000001</v>
      </c>
      <c r="F42" s="29">
        <f>'Detalle EP N°1'!G42</f>
        <v/>
      </c>
      <c r="G42" s="29" t="n">
        <v>1.466666666666667</v>
      </c>
      <c r="H42" s="29">
        <f>F42+G42</f>
        <v/>
      </c>
      <c r="I42" s="30">
        <f>H42*E42</f>
        <v/>
      </c>
      <c r="J42" s="31">
        <f>H42/D42</f>
        <v/>
      </c>
      <c r="K42" s="29">
        <f>D42-H42</f>
        <v/>
      </c>
    </row>
    <row r="43" ht="19" customHeight="1">
      <c r="A43" s="18" t="inlineStr">
        <is>
          <t>2.12</t>
        </is>
      </c>
      <c r="B43" s="19" t="inlineStr">
        <is>
          <t>Sala residuos</t>
        </is>
      </c>
      <c r="C43" s="18" t="inlineStr">
        <is>
          <t>m2</t>
        </is>
      </c>
      <c r="D43" s="20" t="n">
        <v>24</v>
      </c>
      <c r="E43" s="21" t="n">
        <v>683487.7500000001</v>
      </c>
      <c r="F43" s="20">
        <f>'Detalle EP N°1'!G43</f>
        <v/>
      </c>
      <c r="G43" s="20" t="n">
        <v>0</v>
      </c>
      <c r="H43" s="20">
        <f>F43+G43</f>
        <v/>
      </c>
      <c r="I43" s="21">
        <f>H43*E43</f>
        <v/>
      </c>
      <c r="J43" s="22">
        <f>H43/D43</f>
        <v/>
      </c>
      <c r="K43" s="20">
        <f>D43-H43</f>
        <v/>
      </c>
    </row>
    <row r="44" ht="19" customHeight="1">
      <c r="A44" s="18" t="inlineStr">
        <is>
          <t>2.13</t>
        </is>
      </c>
      <c r="B44" s="19" t="inlineStr">
        <is>
          <t>Cierre Perimetral Acmaford</t>
        </is>
      </c>
      <c r="C44" s="18" t="inlineStr">
        <is>
          <t>ml</t>
        </is>
      </c>
      <c r="D44" s="20" t="n">
        <v>238</v>
      </c>
      <c r="E44" s="21" t="n">
        <v>37281.15000000001</v>
      </c>
      <c r="F44" s="20">
        <f>'Detalle EP N°1'!G44</f>
        <v/>
      </c>
      <c r="G44" s="20" t="n">
        <v>0</v>
      </c>
      <c r="H44" s="20">
        <f>F44+G44</f>
        <v/>
      </c>
      <c r="I44" s="21">
        <f>H44*E44</f>
        <v/>
      </c>
      <c r="J44" s="22">
        <f>H44/D44</f>
        <v/>
      </c>
      <c r="K44" s="20">
        <f>D44-H44</f>
        <v/>
      </c>
    </row>
    <row r="45" ht="19" customHeight="1">
      <c r="A45" s="18" t="inlineStr">
        <is>
          <t>2.14</t>
        </is>
      </c>
      <c r="B45" s="19" t="inlineStr">
        <is>
          <t>Cierre perimetral Bulldog</t>
        </is>
      </c>
      <c r="C45" s="18" t="inlineStr">
        <is>
          <t>ml</t>
        </is>
      </c>
      <c r="D45" s="20" t="n">
        <v>364</v>
      </c>
      <c r="E45" s="21" t="n">
        <v>64620.66000000001</v>
      </c>
      <c r="F45" s="20">
        <f>'Detalle EP N°1'!G45</f>
        <v/>
      </c>
      <c r="G45" s="20" t="n">
        <v>0</v>
      </c>
      <c r="H45" s="20">
        <f>F45+G45</f>
        <v/>
      </c>
      <c r="I45" s="21">
        <f>H45*E45</f>
        <v/>
      </c>
      <c r="J45" s="22">
        <f>H45/D45</f>
        <v/>
      </c>
      <c r="K45" s="20">
        <f>D45-H45</f>
        <v/>
      </c>
    </row>
    <row r="46" ht="24" customHeight="1">
      <c r="A46" s="32" t="inlineStr">
        <is>
          <t>TOTAL ACUMULADO EJECUTADO A LA FECHA (sin IVA)</t>
        </is>
      </c>
      <c r="B46" s="33" t="n"/>
      <c r="C46" s="33" t="n"/>
      <c r="D46" s="33" t="n"/>
      <c r="E46" s="33" t="n"/>
      <c r="F46" s="33" t="n"/>
      <c r="G46" s="33" t="n"/>
      <c r="H46" s="33" t="n"/>
      <c r="I46" s="34">
        <f>SUM(I5:I45)</f>
        <v/>
      </c>
      <c r="J46" s="35">
        <f>I46/5758410688.804201</f>
        <v/>
      </c>
      <c r="K46" s="33" t="n"/>
    </row>
  </sheetData>
  <mergeCells count="3">
    <mergeCell ref="A2:K2"/>
    <mergeCell ref="A1:K1"/>
    <mergeCell ref="A46:H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2026-10-18T23:16:39Z</dcterms:created>
  <dcterms:modified xmlns:dcterms="http://purl.org/dc/terms/" xmlns:xsi="http://www.w3.org/2001/XMLSchema-instance" xsi:type="dcterms:W3CDTF">2026-10-18T23:16:39Z</dcterms:modified>
</cp:coreProperties>
</file>