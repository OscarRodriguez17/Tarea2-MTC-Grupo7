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General" sheetId="1" state="visible" r:id="rId1"/>
    <sheet xmlns:r="http://schemas.openxmlformats.org/officeDocument/2006/relationships" name="Gastos Gener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b val="1"/>
      <color rgb="001F497D"/>
      <sz val="10"/>
    </font>
    <font>
      <name val="Calibri"/>
      <sz val="9"/>
    </font>
    <font>
      <name val="Calibri"/>
      <b val="1"/>
      <sz val="9"/>
    </font>
    <font>
      <name val="Calibri"/>
      <b val="1"/>
      <color rgb="00375623"/>
      <sz val="11"/>
    </font>
    <font>
      <name val="Calibri"/>
      <b val="1"/>
      <color rgb="001F497D"/>
      <sz val="11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3" fontId="6" fillId="4" borderId="1" pivotButton="0" quotePrefix="0" xfId="0"/>
    <xf numFmtId="164" fontId="6" fillId="4" borderId="1" pivotButton="0" quotePrefix="0" xfId="0"/>
    <xf numFmtId="0" fontId="6" fillId="3" borderId="1" pivotButton="0" quotePrefix="0" xfId="0"/>
    <xf numFmtId="0" fontId="0" fillId="3" borderId="1" pivotButton="0" quotePrefix="0" xfId="0"/>
    <xf numFmtId="164" fontId="6" fillId="3" borderId="1" pivotButton="0" quotePrefix="0" xfId="0"/>
    <xf numFmtId="0" fontId="6" fillId="0" borderId="1" applyAlignment="1" pivotButton="0" quotePrefix="0" xfId="0">
      <alignment horizontal="right" vertical="center"/>
    </xf>
    <xf numFmtId="0" fontId="0" fillId="0" borderId="1" pivotButton="0" quotePrefix="0" xfId="0"/>
    <xf numFmtId="164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0" fontId="0" fillId="5" borderId="1" pivotButton="0" quotePrefix="0" xfId="0"/>
    <xf numFmtId="164" fontId="7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164" fontId="0" fillId="0" borderId="1" pivotButton="0" quotePrefix="0" xfId="0"/>
    <xf numFmtId="164" fontId="6" fillId="0" borderId="1" pivotButton="0" quotePrefix="0" xfId="0"/>
    <xf numFmtId="0" fontId="8" fillId="3" borderId="2" applyAlignment="1" pivotButton="0" quotePrefix="0" xfId="0">
      <alignment horizontal="right" vertical="center"/>
    </xf>
    <xf numFmtId="0" fontId="0" fillId="3" borderId="2" pivotButton="0" quotePrefix="0" xfId="0"/>
    <xf numFmtId="164" fontId="8" fillId="3" borderId="2" pivotButton="0" quotePrefix="0" xfId="0"/>
    <xf numFmtId="10" fontId="6" fillId="0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8" customWidth="1" min="3" max="3"/>
    <col width="12" customWidth="1" min="4" max="4"/>
    <col width="16" customWidth="1" min="5" max="5"/>
    <col width="18" customWidth="1" min="6" max="6"/>
    <col width="18" customWidth="1" min="7" max="7"/>
    <col width="18" customWidth="1" min="8" max="8"/>
    <col width="16" customWidth="1" min="9" max="9"/>
    <col width="18" customWidth="1" min="10" max="10"/>
    <col width="18" customWidth="1" min="11" max="11"/>
  </cols>
  <sheetData>
    <row r="1" ht="25" customHeight="1">
      <c r="A1" s="1" t="inlineStr">
        <is>
          <t>PRESUPUESTO GENERAL DE OBRA VALORIZADO A ENERO 2026 (GRUPO 7)</t>
        </is>
      </c>
    </row>
    <row r="2" ht="18" customHeight="1">
      <c r="A2" s="2" t="inlineStr">
        <is>
          <t>Proyecto: Bodegas BSL Quilicura | Cantidades Oficiales Grupo 7 | 41 Partidas Valorizadas con GG (15,27%) y Utilidad (9,00%)</t>
        </is>
      </c>
    </row>
    <row r="4" ht="28" customHeight="1">
      <c r="A4" s="3" t="inlineStr">
        <is>
          <t>Ítem</t>
        </is>
      </c>
      <c r="B4" s="3" t="inlineStr">
        <is>
          <t>Descripción de la Partida</t>
        </is>
      </c>
      <c r="C4" s="3" t="inlineStr">
        <is>
          <t>Unid.</t>
        </is>
      </c>
      <c r="D4" s="3" t="inlineStr">
        <is>
          <t>Cantidad G7</t>
        </is>
      </c>
      <c r="E4" s="3" t="inlineStr">
        <is>
          <t>PU Costo Directo ($)</t>
        </is>
      </c>
      <c r="F4" s="3" t="inlineStr">
        <is>
          <t>Subtotal Costo Directo ($)</t>
        </is>
      </c>
      <c r="G4" s="3" t="inlineStr">
        <is>
          <t>Recargo GG (15.27%) ($)</t>
        </is>
      </c>
      <c r="H4" s="3" t="inlineStr">
        <is>
          <t>Recargo Utilidad (9.00%) ($)</t>
        </is>
      </c>
      <c r="I4" s="3" t="inlineStr">
        <is>
          <t>PU Venta Total ($)</t>
        </is>
      </c>
      <c r="J4" s="3" t="inlineStr">
        <is>
          <t>Monto Total Venta ($)</t>
        </is>
      </c>
      <c r="K4" s="3" t="inlineStr">
        <is>
          <t>Partida Detallada (APU)</t>
        </is>
      </c>
    </row>
    <row r="5" ht="20" customHeight="1">
      <c r="A5" s="4" t="inlineStr">
        <is>
          <t>1.0  MOVIMIENTO DE TIERRAS, FUNDACIONES Y VIALIDAD</t>
        </is>
      </c>
    </row>
    <row r="6" ht="19" customHeight="1">
      <c r="A6" s="5" t="inlineStr">
        <is>
          <t>1.1</t>
        </is>
      </c>
      <c r="B6" s="6" t="inlineStr">
        <is>
          <t>Excavación en TCN Caminos</t>
        </is>
      </c>
      <c r="C6" s="5" t="inlineStr">
        <is>
          <t>m3</t>
        </is>
      </c>
      <c r="D6" s="7" t="n">
        <v>466</v>
      </c>
      <c r="E6" s="8" t="n">
        <v>5500</v>
      </c>
      <c r="F6" s="8">
        <f>D6*E6</f>
        <v/>
      </c>
      <c r="G6" s="8">
        <f>E6*'Gastos Generales'!G23</f>
        <v/>
      </c>
      <c r="H6" s="8">
        <f>E6*0.09</f>
        <v/>
      </c>
      <c r="I6" s="8">
        <f>E6+G6+H6</f>
        <v/>
      </c>
      <c r="J6" s="8">
        <f>D6*I6</f>
        <v/>
      </c>
      <c r="K6" s="5" t="inlineStr">
        <is>
          <t>Precio Referencial</t>
        </is>
      </c>
    </row>
    <row r="7" ht="19" customHeight="1">
      <c r="A7" s="5" t="inlineStr">
        <is>
          <t>1.2</t>
        </is>
      </c>
      <c r="B7" s="6" t="inlineStr">
        <is>
          <t>Excavación en TCN Bodegas</t>
        </is>
      </c>
      <c r="C7" s="5" t="inlineStr">
        <is>
          <t>m3</t>
        </is>
      </c>
      <c r="D7" s="7" t="n">
        <v>20354</v>
      </c>
      <c r="E7" s="8" t="n">
        <v>5500</v>
      </c>
      <c r="F7" s="8">
        <f>D7*E7</f>
        <v/>
      </c>
      <c r="G7" s="8">
        <f>E7*'Gastos Generales'!G23</f>
        <v/>
      </c>
      <c r="H7" s="8">
        <f>E7*0.09</f>
        <v/>
      </c>
      <c r="I7" s="8">
        <f>E7+G7+H7</f>
        <v/>
      </c>
      <c r="J7" s="8">
        <f>D7*I7</f>
        <v/>
      </c>
      <c r="K7" s="5" t="inlineStr">
        <is>
          <t>Precio Referencial</t>
        </is>
      </c>
    </row>
    <row r="8" ht="19" customHeight="1">
      <c r="A8" s="5" t="inlineStr">
        <is>
          <t>1.3</t>
        </is>
      </c>
      <c r="B8" s="6" t="inlineStr">
        <is>
          <t>Mejoramiento Fundaciones con integral natural (1,5 m.)</t>
        </is>
      </c>
      <c r="C8" s="5" t="inlineStr">
        <is>
          <t>m3</t>
        </is>
      </c>
      <c r="D8" s="7" t="n">
        <v>7740</v>
      </c>
      <c r="E8" s="8" t="n">
        <v>18000</v>
      </c>
      <c r="F8" s="8">
        <f>D8*E8</f>
        <v/>
      </c>
      <c r="G8" s="8">
        <f>E8*'Gastos Generales'!G23</f>
        <v/>
      </c>
      <c r="H8" s="8">
        <f>E8*0.09</f>
        <v/>
      </c>
      <c r="I8" s="8">
        <f>E8+G8+H8</f>
        <v/>
      </c>
      <c r="J8" s="8">
        <f>D8*I8</f>
        <v/>
      </c>
      <c r="K8" s="5" t="inlineStr">
        <is>
          <t>Precio Referencial</t>
        </is>
      </c>
    </row>
    <row r="9" ht="19" customHeight="1">
      <c r="A9" s="5" t="inlineStr">
        <is>
          <t>1.4</t>
        </is>
      </c>
      <c r="B9" s="6" t="inlineStr">
        <is>
          <t>Mejoramiento Fundaciones con integral natural (0,5 m.)</t>
        </is>
      </c>
      <c r="C9" s="5" t="inlineStr">
        <is>
          <t>m3</t>
        </is>
      </c>
      <c r="D9" s="7" t="n">
        <v>2944</v>
      </c>
      <c r="E9" s="8" t="n">
        <v>18000</v>
      </c>
      <c r="F9" s="8">
        <f>D9*E9</f>
        <v/>
      </c>
      <c r="G9" s="8">
        <f>E9*'Gastos Generales'!G23</f>
        <v/>
      </c>
      <c r="H9" s="8">
        <f>E9*0.09</f>
        <v/>
      </c>
      <c r="I9" s="8">
        <f>E9+G9+H9</f>
        <v/>
      </c>
      <c r="J9" s="8">
        <f>D9*I9</f>
        <v/>
      </c>
      <c r="K9" s="5" t="inlineStr">
        <is>
          <t>Precio Referencial</t>
        </is>
      </c>
    </row>
    <row r="10" ht="19" customHeight="1">
      <c r="A10" s="5" t="inlineStr">
        <is>
          <t>1.5</t>
        </is>
      </c>
      <c r="B10" s="6" t="inlineStr">
        <is>
          <t>Relleno Estructural bajo 2" (Fundaciones a Subrasante)</t>
        </is>
      </c>
      <c r="C10" s="5" t="inlineStr">
        <is>
          <t>m3</t>
        </is>
      </c>
      <c r="D10" s="7" t="n">
        <v>2198</v>
      </c>
      <c r="E10" s="8" t="n">
        <v>20000</v>
      </c>
      <c r="F10" s="8">
        <f>D10*E10</f>
        <v/>
      </c>
      <c r="G10" s="8">
        <f>E10*'Gastos Generales'!G23</f>
        <v/>
      </c>
      <c r="H10" s="8">
        <f>E10*0.09</f>
        <v/>
      </c>
      <c r="I10" s="8">
        <f>E10+G10+H10</f>
        <v/>
      </c>
      <c r="J10" s="8">
        <f>D10*I10</f>
        <v/>
      </c>
      <c r="K10" s="5" t="inlineStr">
        <is>
          <t>Precio Referencial</t>
        </is>
      </c>
    </row>
    <row r="11" ht="19" customHeight="1">
      <c r="A11" s="5" t="inlineStr">
        <is>
          <t>1.6</t>
        </is>
      </c>
      <c r="B11" s="6" t="inlineStr">
        <is>
          <t>Relleno Estructural bajo 6" (Fundaciones a Subrasante)</t>
        </is>
      </c>
      <c r="C11" s="5" t="inlineStr">
        <is>
          <t>m3</t>
        </is>
      </c>
      <c r="D11" s="7" t="n">
        <v>3299</v>
      </c>
      <c r="E11" s="8" t="n">
        <v>20000</v>
      </c>
      <c r="F11" s="8">
        <f>D11*E11</f>
        <v/>
      </c>
      <c r="G11" s="8">
        <f>E11*'Gastos Generales'!G23</f>
        <v/>
      </c>
      <c r="H11" s="8">
        <f>E11*0.09</f>
        <v/>
      </c>
      <c r="I11" s="8">
        <f>E11+G11+H11</f>
        <v/>
      </c>
      <c r="J11" s="8">
        <f>D11*I11</f>
        <v/>
      </c>
      <c r="K11" s="5" t="inlineStr">
        <is>
          <t>Precio Referencial</t>
        </is>
      </c>
    </row>
    <row r="12" ht="19" customHeight="1">
      <c r="A12" s="5" t="inlineStr">
        <is>
          <t>1.7</t>
        </is>
      </c>
      <c r="B12" s="6" t="inlineStr">
        <is>
          <t>Relleno Estructural bajo 2" Bodegas, Oficinas, VF</t>
        </is>
      </c>
      <c r="C12" s="5" t="inlineStr">
        <is>
          <t>m3</t>
        </is>
      </c>
      <c r="D12" s="7" t="n">
        <v>3398</v>
      </c>
      <c r="E12" s="8" t="n">
        <v>20000</v>
      </c>
      <c r="F12" s="8">
        <f>D12*E12</f>
        <v/>
      </c>
      <c r="G12" s="8">
        <f>E12*'Gastos Generales'!G23</f>
        <v/>
      </c>
      <c r="H12" s="8">
        <f>E12*0.09</f>
        <v/>
      </c>
      <c r="I12" s="8">
        <f>E12+G12+H12</f>
        <v/>
      </c>
      <c r="J12" s="8">
        <f>D12*I12</f>
        <v/>
      </c>
      <c r="K12" s="5" t="inlineStr">
        <is>
          <t>Precio Referencial</t>
        </is>
      </c>
    </row>
    <row r="13" ht="19" customHeight="1">
      <c r="A13" s="5" t="inlineStr">
        <is>
          <t>1.8</t>
        </is>
      </c>
      <c r="B13" s="6" t="inlineStr">
        <is>
          <t>Terraplén caminos y areas de servicio</t>
        </is>
      </c>
      <c r="C13" s="5" t="inlineStr">
        <is>
          <t>m3</t>
        </is>
      </c>
      <c r="D13" s="7" t="n">
        <v>1955</v>
      </c>
      <c r="E13" s="8" t="n">
        <v>5000</v>
      </c>
      <c r="F13" s="8">
        <f>D13*E13</f>
        <v/>
      </c>
      <c r="G13" s="8">
        <f>E13*'Gastos Generales'!G23</f>
        <v/>
      </c>
      <c r="H13" s="8">
        <f>E13*0.09</f>
        <v/>
      </c>
      <c r="I13" s="8">
        <f>E13+G13+H13</f>
        <v/>
      </c>
      <c r="J13" s="8">
        <f>D13*I13</f>
        <v/>
      </c>
      <c r="K13" s="5" t="inlineStr">
        <is>
          <t>Precio Referencial</t>
        </is>
      </c>
    </row>
    <row r="14" ht="19" customHeight="1">
      <c r="A14" s="5" t="inlineStr">
        <is>
          <t>1.9</t>
        </is>
      </c>
      <c r="B14" s="6" t="inlineStr">
        <is>
          <t>Terraplén bajo radier bodegas</t>
        </is>
      </c>
      <c r="C14" s="5" t="inlineStr">
        <is>
          <t>m3</t>
        </is>
      </c>
      <c r="D14" s="7" t="n">
        <v>1699</v>
      </c>
      <c r="E14" s="8" t="n">
        <v>5000</v>
      </c>
      <c r="F14" s="8">
        <f>D14*E14</f>
        <v/>
      </c>
      <c r="G14" s="8">
        <f>E14*'Gastos Generales'!G23</f>
        <v/>
      </c>
      <c r="H14" s="8">
        <f>E14*0.09</f>
        <v/>
      </c>
      <c r="I14" s="8">
        <f>E14+G14+H14</f>
        <v/>
      </c>
      <c r="J14" s="8">
        <f>D14*I14</f>
        <v/>
      </c>
      <c r="K14" s="5" t="inlineStr">
        <is>
          <t>Precio Referencial</t>
        </is>
      </c>
    </row>
    <row r="15" ht="19" customHeight="1">
      <c r="A15" s="5" t="inlineStr">
        <is>
          <t>1.10</t>
        </is>
      </c>
      <c r="B15" s="6" t="inlineStr">
        <is>
          <t>Preparación de la Subrasante Bodegas</t>
        </is>
      </c>
      <c r="C15" s="5" t="inlineStr">
        <is>
          <t>m2</t>
        </is>
      </c>
      <c r="D15" s="7" t="n">
        <v>16024</v>
      </c>
      <c r="E15" s="8" t="n">
        <v>1500</v>
      </c>
      <c r="F15" s="8">
        <f>D15*E15</f>
        <v/>
      </c>
      <c r="G15" s="8">
        <f>E15*'Gastos Generales'!G23</f>
        <v/>
      </c>
      <c r="H15" s="8">
        <f>E15*0.09</f>
        <v/>
      </c>
      <c r="I15" s="8">
        <f>E15+G15+H15</f>
        <v/>
      </c>
      <c r="J15" s="8">
        <f>D15*I15</f>
        <v/>
      </c>
      <c r="K15" s="5" t="inlineStr">
        <is>
          <t>Precio Referencial</t>
        </is>
      </c>
    </row>
    <row r="16" ht="19" customHeight="1">
      <c r="A16" s="5" t="inlineStr">
        <is>
          <t>1.11</t>
        </is>
      </c>
      <c r="B16" s="6" t="inlineStr">
        <is>
          <t>Preparación de la Subrasante Caminos y Areas de Servicio</t>
        </is>
      </c>
      <c r="C16" s="5" t="inlineStr">
        <is>
          <t>m2</t>
        </is>
      </c>
      <c r="D16" s="7" t="n">
        <v>9756</v>
      </c>
      <c r="E16" s="8" t="n">
        <v>1500</v>
      </c>
      <c r="F16" s="8">
        <f>D16*E16</f>
        <v/>
      </c>
      <c r="G16" s="8">
        <f>E16*'Gastos Generales'!G23</f>
        <v/>
      </c>
      <c r="H16" s="8">
        <f>E16*0.09</f>
        <v/>
      </c>
      <c r="I16" s="8">
        <f>E16+G16+H16</f>
        <v/>
      </c>
      <c r="J16" s="8">
        <f>D16*I16</f>
        <v/>
      </c>
      <c r="K16" s="5" t="inlineStr">
        <is>
          <t>Precio Referencial</t>
        </is>
      </c>
    </row>
    <row r="17" ht="19" customHeight="1">
      <c r="A17" s="5" t="inlineStr">
        <is>
          <t>1.12</t>
        </is>
      </c>
      <c r="B17" s="6" t="inlineStr">
        <is>
          <t>Base Granular Caminos</t>
        </is>
      </c>
      <c r="C17" s="5" t="inlineStr">
        <is>
          <t>m3</t>
        </is>
      </c>
      <c r="D17" s="7" t="n">
        <v>1965</v>
      </c>
      <c r="E17" s="8" t="n">
        <v>21500</v>
      </c>
      <c r="F17" s="8">
        <f>D17*E17</f>
        <v/>
      </c>
      <c r="G17" s="8">
        <f>E17*'Gastos Generales'!G23</f>
        <v/>
      </c>
      <c r="H17" s="8">
        <f>E17*0.09</f>
        <v/>
      </c>
      <c r="I17" s="8">
        <f>E17+G17+H17</f>
        <v/>
      </c>
      <c r="J17" s="8">
        <f>D17*I17</f>
        <v/>
      </c>
      <c r="K17" s="5" t="inlineStr">
        <is>
          <t>Precio Referencial</t>
        </is>
      </c>
    </row>
    <row r="18" ht="19" customHeight="1">
      <c r="A18" s="5" t="inlineStr">
        <is>
          <t>1.13</t>
        </is>
      </c>
      <c r="B18" s="6" t="inlineStr">
        <is>
          <t>Base Granular Bodegas</t>
        </is>
      </c>
      <c r="C18" s="5" t="inlineStr">
        <is>
          <t>m3</t>
        </is>
      </c>
      <c r="D18" s="7" t="n">
        <v>3204</v>
      </c>
      <c r="E18" s="8" t="n">
        <v>21500</v>
      </c>
      <c r="F18" s="8">
        <f>D18*E18</f>
        <v/>
      </c>
      <c r="G18" s="8">
        <f>E18*'Gastos Generales'!G23</f>
        <v/>
      </c>
      <c r="H18" s="8">
        <f>E18*0.09</f>
        <v/>
      </c>
      <c r="I18" s="8">
        <f>E18+G18+H18</f>
        <v/>
      </c>
      <c r="J18" s="8">
        <f>D18*I18</f>
        <v/>
      </c>
      <c r="K18" s="5" t="inlineStr">
        <is>
          <t>Precio Referencial</t>
        </is>
      </c>
    </row>
    <row r="19" ht="19" customHeight="1">
      <c r="A19" s="9" t="inlineStr">
        <is>
          <t>1.14</t>
        </is>
      </c>
      <c r="B19" s="10" t="inlineStr">
        <is>
          <t>Hormigón G-25 radier (malla acma C-92)</t>
        </is>
      </c>
      <c r="C19" s="9" t="inlineStr">
        <is>
          <t>m3</t>
        </is>
      </c>
      <c r="D19" s="11" t="n">
        <v>2403</v>
      </c>
      <c r="E19" s="12" t="n">
        <v>168000</v>
      </c>
      <c r="F19" s="12">
        <f>D19*E19</f>
        <v/>
      </c>
      <c r="G19" s="12">
        <f>E19*'Gastos Generales'!G23</f>
        <v/>
      </c>
      <c r="H19" s="12">
        <f>E19*0.09</f>
        <v/>
      </c>
      <c r="I19" s="12">
        <f>E19+G19+H19</f>
        <v/>
      </c>
      <c r="J19" s="12">
        <f>D19*I19</f>
        <v/>
      </c>
      <c r="K19" s="9" t="inlineStr">
        <is>
          <t>APU ABIERTO G7</t>
        </is>
      </c>
    </row>
    <row r="20" ht="19" customHeight="1">
      <c r="A20" s="5" t="inlineStr">
        <is>
          <t>1.15</t>
        </is>
      </c>
      <c r="B20" s="6" t="inlineStr">
        <is>
          <t>Hormigón G-35 calles</t>
        </is>
      </c>
      <c r="C20" s="5" t="inlineStr">
        <is>
          <t>m3</t>
        </is>
      </c>
      <c r="D20" s="7" t="n">
        <v>1758</v>
      </c>
      <c r="E20" s="8" t="n">
        <v>155000</v>
      </c>
      <c r="F20" s="8">
        <f>D20*E20</f>
        <v/>
      </c>
      <c r="G20" s="8">
        <f>E20*'Gastos Generales'!G23</f>
        <v/>
      </c>
      <c r="H20" s="8">
        <f>E20*0.09</f>
        <v/>
      </c>
      <c r="I20" s="8">
        <f>E20+G20+H20</f>
        <v/>
      </c>
      <c r="J20" s="8">
        <f>D20*I20</f>
        <v/>
      </c>
      <c r="K20" s="5" t="inlineStr">
        <is>
          <t>Precio Referencial</t>
        </is>
      </c>
    </row>
    <row r="21" ht="19" customHeight="1">
      <c r="A21" s="5" t="inlineStr">
        <is>
          <t>1.16</t>
        </is>
      </c>
      <c r="B21" s="6" t="inlineStr">
        <is>
          <t>Hormigón G-25 Fundaciones Zapatas Bodegas y Oficinas</t>
        </is>
      </c>
      <c r="C21" s="5" t="inlineStr">
        <is>
          <t>m3</t>
        </is>
      </c>
      <c r="D21" s="7" t="n">
        <v>891</v>
      </c>
      <c r="E21" s="8" t="n">
        <v>165000</v>
      </c>
      <c r="F21" s="8">
        <f>D21*E21</f>
        <v/>
      </c>
      <c r="G21" s="8">
        <f>E21*'Gastos Generales'!G23</f>
        <v/>
      </c>
      <c r="H21" s="8">
        <f>E21*0.09</f>
        <v/>
      </c>
      <c r="I21" s="8">
        <f>E21+G21+H21</f>
        <v/>
      </c>
      <c r="J21" s="8">
        <f>D21*I21</f>
        <v/>
      </c>
      <c r="K21" s="5" t="inlineStr">
        <is>
          <t>Precio Referencial</t>
        </is>
      </c>
    </row>
    <row r="22" ht="19" customHeight="1">
      <c r="A22" s="5" t="inlineStr">
        <is>
          <t>1.17</t>
        </is>
      </c>
      <c r="B22" s="6" t="inlineStr">
        <is>
          <t>Hormigón G-04 Emplantillado Fundaciones</t>
        </is>
      </c>
      <c r="C22" s="5" t="inlineStr">
        <is>
          <t>m3</t>
        </is>
      </c>
      <c r="D22" s="7" t="n">
        <v>62</v>
      </c>
      <c r="E22" s="8" t="n">
        <v>110000</v>
      </c>
      <c r="F22" s="8">
        <f>D22*E22</f>
        <v/>
      </c>
      <c r="G22" s="8">
        <f>E22*'Gastos Generales'!G23</f>
        <v/>
      </c>
      <c r="H22" s="8">
        <f>E22*0.09</f>
        <v/>
      </c>
      <c r="I22" s="8">
        <f>E22+G22+H22</f>
        <v/>
      </c>
      <c r="J22" s="8">
        <f>D22*I22</f>
        <v/>
      </c>
      <c r="K22" s="5" t="inlineStr">
        <is>
          <t>Precio Referencial</t>
        </is>
      </c>
    </row>
    <row r="23" ht="19" customHeight="1">
      <c r="A23" s="5" t="inlineStr">
        <is>
          <t>1.18</t>
        </is>
      </c>
      <c r="B23" s="6" t="inlineStr">
        <is>
          <t>Hormigón G-25 Vigas de Fundación</t>
        </is>
      </c>
      <c r="C23" s="5" t="inlineStr">
        <is>
          <t>m3</t>
        </is>
      </c>
      <c r="D23" s="7" t="n">
        <v>121</v>
      </c>
      <c r="E23" s="8" t="n">
        <v>170000</v>
      </c>
      <c r="F23" s="8">
        <f>D23*E23</f>
        <v/>
      </c>
      <c r="G23" s="8">
        <f>E23*'Gastos Generales'!G23</f>
        <v/>
      </c>
      <c r="H23" s="8">
        <f>E23*0.09</f>
        <v/>
      </c>
      <c r="I23" s="8">
        <f>E23+G23+H23</f>
        <v/>
      </c>
      <c r="J23" s="8">
        <f>D23*I23</f>
        <v/>
      </c>
      <c r="K23" s="5" t="inlineStr">
        <is>
          <t>Precio Referencial</t>
        </is>
      </c>
    </row>
    <row r="24" ht="19" customHeight="1">
      <c r="A24" s="9" t="inlineStr">
        <is>
          <t>1.19</t>
        </is>
      </c>
      <c r="B24" s="10" t="inlineStr">
        <is>
          <t>Hormigón G-25 Pedestales Galpones y Oficinas</t>
        </is>
      </c>
      <c r="C24" s="9" t="inlineStr">
        <is>
          <t>m3</t>
        </is>
      </c>
      <c r="D24" s="11" t="n">
        <v>82</v>
      </c>
      <c r="E24" s="12" t="n">
        <v>185000</v>
      </c>
      <c r="F24" s="12">
        <f>D24*E24</f>
        <v/>
      </c>
      <c r="G24" s="12">
        <f>E24*'Gastos Generales'!G23</f>
        <v/>
      </c>
      <c r="H24" s="12">
        <f>E24*0.09</f>
        <v/>
      </c>
      <c r="I24" s="12">
        <f>E24+G24+H24</f>
        <v/>
      </c>
      <c r="J24" s="12">
        <f>D24*I24</f>
        <v/>
      </c>
      <c r="K24" s="9" t="inlineStr">
        <is>
          <t>APU ABIERTO G7</t>
        </is>
      </c>
    </row>
    <row r="25" ht="19" customHeight="1">
      <c r="A25" s="5" t="inlineStr">
        <is>
          <t>1.20</t>
        </is>
      </c>
      <c r="B25" s="6" t="inlineStr">
        <is>
          <t>Hormigón G-25 Muros Galpones y Oficinas</t>
        </is>
      </c>
      <c r="C25" s="5" t="inlineStr">
        <is>
          <t>m3</t>
        </is>
      </c>
      <c r="D25" s="7" t="n">
        <v>430</v>
      </c>
      <c r="E25" s="8" t="n">
        <v>175000</v>
      </c>
      <c r="F25" s="8">
        <f>D25*E25</f>
        <v/>
      </c>
      <c r="G25" s="8">
        <f>E25*'Gastos Generales'!G23</f>
        <v/>
      </c>
      <c r="H25" s="8">
        <f>E25*0.09</f>
        <v/>
      </c>
      <c r="I25" s="8">
        <f>E25+G25+H25</f>
        <v/>
      </c>
      <c r="J25" s="8">
        <f>D25*I25</f>
        <v/>
      </c>
      <c r="K25" s="5" t="inlineStr">
        <is>
          <t>Precio Referencial</t>
        </is>
      </c>
    </row>
    <row r="26" ht="19" customHeight="1">
      <c r="A26" s="5" t="inlineStr">
        <is>
          <t>1.21</t>
        </is>
      </c>
      <c r="B26" s="6" t="inlineStr">
        <is>
          <t>Enfierradura Fundaciones Zapatas</t>
        </is>
      </c>
      <c r="C26" s="5" t="inlineStr">
        <is>
          <t>kg</t>
        </is>
      </c>
      <c r="D26" s="7" t="n">
        <v>42496</v>
      </c>
      <c r="E26" s="8" t="n">
        <v>1340</v>
      </c>
      <c r="F26" s="8">
        <f>D26*E26</f>
        <v/>
      </c>
      <c r="G26" s="8">
        <f>E26*'Gastos Generales'!G23</f>
        <v/>
      </c>
      <c r="H26" s="8">
        <f>E26*0.09</f>
        <v/>
      </c>
      <c r="I26" s="8">
        <f>E26+G26+H26</f>
        <v/>
      </c>
      <c r="J26" s="8">
        <f>D26*I26</f>
        <v/>
      </c>
      <c r="K26" s="5" t="inlineStr">
        <is>
          <t>Precio Referencial</t>
        </is>
      </c>
    </row>
    <row r="27" ht="19" customHeight="1">
      <c r="A27" s="5" t="inlineStr">
        <is>
          <t>1.22</t>
        </is>
      </c>
      <c r="B27" s="6" t="inlineStr">
        <is>
          <t>Enfierradura Vigas de Fundación</t>
        </is>
      </c>
      <c r="C27" s="5" t="inlineStr">
        <is>
          <t>kg</t>
        </is>
      </c>
      <c r="D27" s="7" t="n">
        <v>10277</v>
      </c>
      <c r="E27" s="8" t="n">
        <v>1340</v>
      </c>
      <c r="F27" s="8">
        <f>D27*E27</f>
        <v/>
      </c>
      <c r="G27" s="8">
        <f>E27*'Gastos Generales'!G23</f>
        <v/>
      </c>
      <c r="H27" s="8">
        <f>E27*0.09</f>
        <v/>
      </c>
      <c r="I27" s="8">
        <f>E27+G27+H27</f>
        <v/>
      </c>
      <c r="J27" s="8">
        <f>D27*I27</f>
        <v/>
      </c>
      <c r="K27" s="5" t="inlineStr">
        <is>
          <t>Precio Referencial</t>
        </is>
      </c>
    </row>
    <row r="28" ht="19" customHeight="1">
      <c r="A28" s="5" t="inlineStr">
        <is>
          <t>1.23</t>
        </is>
      </c>
      <c r="B28" s="6" t="inlineStr">
        <is>
          <t>Enfierradura Pedestales</t>
        </is>
      </c>
      <c r="C28" s="5" t="inlineStr">
        <is>
          <t>kg</t>
        </is>
      </c>
      <c r="D28" s="7" t="n">
        <v>21028</v>
      </c>
      <c r="E28" s="8" t="n">
        <v>1340</v>
      </c>
      <c r="F28" s="8">
        <f>D28*E28</f>
        <v/>
      </c>
      <c r="G28" s="8">
        <f>E28*'Gastos Generales'!G23</f>
        <v/>
      </c>
      <c r="H28" s="8">
        <f>E28*0.09</f>
        <v/>
      </c>
      <c r="I28" s="8">
        <f>E28+G28+H28</f>
        <v/>
      </c>
      <c r="J28" s="8">
        <f>D28*I28</f>
        <v/>
      </c>
      <c r="K28" s="5" t="inlineStr">
        <is>
          <t>Precio Referencial</t>
        </is>
      </c>
    </row>
    <row r="29" ht="19" customHeight="1">
      <c r="A29" s="5" t="inlineStr">
        <is>
          <t>1.24</t>
        </is>
      </c>
      <c r="B29" s="6" t="inlineStr">
        <is>
          <t>Enfierradura Muros</t>
        </is>
      </c>
      <c r="C29" s="5" t="inlineStr">
        <is>
          <t>kg</t>
        </is>
      </c>
      <c r="D29" s="7" t="n">
        <v>23885</v>
      </c>
      <c r="E29" s="8" t="n">
        <v>1340</v>
      </c>
      <c r="F29" s="8">
        <f>D29*E29</f>
        <v/>
      </c>
      <c r="G29" s="8">
        <f>E29*'Gastos Generales'!G23</f>
        <v/>
      </c>
      <c r="H29" s="8">
        <f>E29*0.09</f>
        <v/>
      </c>
      <c r="I29" s="8">
        <f>E29+G29+H29</f>
        <v/>
      </c>
      <c r="J29" s="8">
        <f>D29*I29</f>
        <v/>
      </c>
      <c r="K29" s="5" t="inlineStr">
        <is>
          <t>Precio Referencial</t>
        </is>
      </c>
    </row>
    <row r="30" ht="19" customHeight="1">
      <c r="A30" s="5" t="inlineStr">
        <is>
          <t>1.25</t>
        </is>
      </c>
      <c r="B30" s="6" t="inlineStr">
        <is>
          <t>Demolición de Aceras</t>
        </is>
      </c>
      <c r="C30" s="5" t="inlineStr">
        <is>
          <t>m2</t>
        </is>
      </c>
      <c r="D30" s="7" t="n">
        <v>60</v>
      </c>
      <c r="E30" s="8" t="n">
        <v>4450</v>
      </c>
      <c r="F30" s="8">
        <f>D30*E30</f>
        <v/>
      </c>
      <c r="G30" s="8">
        <f>E30*'Gastos Generales'!G23</f>
        <v/>
      </c>
      <c r="H30" s="8">
        <f>E30*0.09</f>
        <v/>
      </c>
      <c r="I30" s="8">
        <f>E30+G30+H30</f>
        <v/>
      </c>
      <c r="J30" s="8">
        <f>D30*I30</f>
        <v/>
      </c>
      <c r="K30" s="5" t="inlineStr">
        <is>
          <t>Precio Referencial</t>
        </is>
      </c>
    </row>
    <row r="31" ht="19" customHeight="1">
      <c r="A31" s="9" t="inlineStr">
        <is>
          <t>1.26</t>
        </is>
      </c>
      <c r="B31" s="10" t="inlineStr">
        <is>
          <t>Remoción de Soleras</t>
        </is>
      </c>
      <c r="C31" s="9" t="inlineStr">
        <is>
          <t>m</t>
        </is>
      </c>
      <c r="D31" s="11" t="n">
        <v>45</v>
      </c>
      <c r="E31" s="12" t="n">
        <v>3500</v>
      </c>
      <c r="F31" s="12">
        <f>D31*E31</f>
        <v/>
      </c>
      <c r="G31" s="12">
        <f>E31*'Gastos Generales'!G23</f>
        <v/>
      </c>
      <c r="H31" s="12">
        <f>E31*0.09</f>
        <v/>
      </c>
      <c r="I31" s="12">
        <f>E31+G31+H31</f>
        <v/>
      </c>
      <c r="J31" s="12">
        <f>D31*I31</f>
        <v/>
      </c>
      <c r="K31" s="9" t="inlineStr">
        <is>
          <t>APU ABIERTO G7</t>
        </is>
      </c>
    </row>
    <row r="32" ht="19" customHeight="1">
      <c r="A32" s="5" t="inlineStr">
        <is>
          <t>1.27</t>
        </is>
      </c>
      <c r="B32" s="6" t="inlineStr">
        <is>
          <t>Solera Tipo A</t>
        </is>
      </c>
      <c r="C32" s="5" t="inlineStr">
        <is>
          <t>m</t>
        </is>
      </c>
      <c r="D32" s="7" t="n">
        <v>1359</v>
      </c>
      <c r="E32" s="8" t="n">
        <v>13500</v>
      </c>
      <c r="F32" s="8">
        <f>D32*E32</f>
        <v/>
      </c>
      <c r="G32" s="8">
        <f>E32*'Gastos Generales'!G23</f>
        <v/>
      </c>
      <c r="H32" s="8">
        <f>E32*0.09</f>
        <v/>
      </c>
      <c r="I32" s="8">
        <f>E32+G32+H32</f>
        <v/>
      </c>
      <c r="J32" s="8">
        <f>D32*I32</f>
        <v/>
      </c>
      <c r="K32" s="5" t="inlineStr">
        <is>
          <t>Precio Referencial</t>
        </is>
      </c>
    </row>
    <row r="33">
      <c r="A33" s="13" t="inlineStr">
        <is>
          <t>SUBTOTAL CAPÍTULO 1 (Costo Directo)</t>
        </is>
      </c>
      <c r="B33" s="14" t="n"/>
      <c r="C33" s="14" t="n"/>
      <c r="D33" s="14" t="n"/>
      <c r="E33" s="14" t="n"/>
      <c r="F33" s="15">
        <f>SUM(F6:F32)</f>
        <v/>
      </c>
      <c r="G33" s="14" t="n"/>
      <c r="H33" s="14" t="n"/>
      <c r="I33" s="14" t="n"/>
      <c r="J33" s="15">
        <f>SUM(J6:J32)</f>
        <v/>
      </c>
      <c r="K33" s="14" t="n"/>
    </row>
    <row r="34" ht="20" customHeight="1">
      <c r="A34" s="4" t="inlineStr">
        <is>
          <t>2.0  ESTRUCTURAS, REVESTIMIENTOS, CUBIERTAS Y TERMINACIONES</t>
        </is>
      </c>
    </row>
    <row r="35" ht="19" customHeight="1">
      <c r="A35" s="5" t="inlineStr">
        <is>
          <t>2.1</t>
        </is>
      </c>
      <c r="B35" s="6" t="inlineStr">
        <is>
          <t>Estructura Metalica Montado y Pintado</t>
        </is>
      </c>
      <c r="C35" s="5" t="inlineStr">
        <is>
          <t>Kg</t>
        </is>
      </c>
      <c r="D35" s="7" t="n">
        <v>581078</v>
      </c>
      <c r="E35" s="8" t="n">
        <v>2000</v>
      </c>
      <c r="F35" s="8">
        <f>D35*E35</f>
        <v/>
      </c>
      <c r="G35" s="8">
        <f>E35*'Gastos Generales'!G23</f>
        <v/>
      </c>
      <c r="H35" s="8">
        <f>E35*0.09</f>
        <v/>
      </c>
      <c r="I35" s="8">
        <f>E35+G35+H35</f>
        <v/>
      </c>
      <c r="J35" s="8">
        <f>D35*I35</f>
        <v/>
      </c>
      <c r="K35" s="5" t="inlineStr">
        <is>
          <t>Precio Referencial</t>
        </is>
      </c>
    </row>
    <row r="36" ht="19" customHeight="1">
      <c r="A36" s="5" t="inlineStr">
        <is>
          <t>2.2</t>
        </is>
      </c>
      <c r="B36" s="6" t="inlineStr">
        <is>
          <t>Aislación</t>
        </is>
      </c>
      <c r="C36" s="5" t="inlineStr">
        <is>
          <t>m2</t>
        </is>
      </c>
      <c r="D36" s="7" t="n">
        <v>15319</v>
      </c>
      <c r="E36" s="8" t="n">
        <v>4500</v>
      </c>
      <c r="F36" s="8">
        <f>D36*E36</f>
        <v/>
      </c>
      <c r="G36" s="8">
        <f>E36*'Gastos Generales'!G23</f>
        <v/>
      </c>
      <c r="H36" s="8">
        <f>E36*0.09</f>
        <v/>
      </c>
      <c r="I36" s="8">
        <f>E36+G36+H36</f>
        <v/>
      </c>
      <c r="J36" s="8">
        <f>D36*I36</f>
        <v/>
      </c>
      <c r="K36" s="5" t="inlineStr">
        <is>
          <t>Precio Referencial</t>
        </is>
      </c>
    </row>
    <row r="37" ht="19" customHeight="1">
      <c r="A37" s="5" t="inlineStr">
        <is>
          <t>2.3</t>
        </is>
      </c>
      <c r="B37" s="6" t="inlineStr">
        <is>
          <t>Divisiones interiores bodegas</t>
        </is>
      </c>
      <c r="C37" s="5" t="inlineStr">
        <is>
          <t>m2</t>
        </is>
      </c>
      <c r="D37" s="7" t="n">
        <v>7626</v>
      </c>
      <c r="E37" s="8" t="n">
        <v>27000</v>
      </c>
      <c r="F37" s="8">
        <f>D37*E37</f>
        <v/>
      </c>
      <c r="G37" s="8">
        <f>E37*'Gastos Generales'!G23</f>
        <v/>
      </c>
      <c r="H37" s="8">
        <f>E37*0.09</f>
        <v/>
      </c>
      <c r="I37" s="8">
        <f>E37+G37+H37</f>
        <v/>
      </c>
      <c r="J37" s="8">
        <f>D37*I37</f>
        <v/>
      </c>
      <c r="K37" s="5" t="inlineStr">
        <is>
          <t>Precio Referencial</t>
        </is>
      </c>
    </row>
    <row r="38" ht="19" customHeight="1">
      <c r="A38" s="5" t="inlineStr">
        <is>
          <t>2.4</t>
        </is>
      </c>
      <c r="B38" s="6" t="inlineStr">
        <is>
          <t>Oficinas</t>
        </is>
      </c>
      <c r="C38" s="5" t="inlineStr">
        <is>
          <t>m2</t>
        </is>
      </c>
      <c r="D38" s="7" t="n">
        <v>2211</v>
      </c>
      <c r="E38" s="8" t="n">
        <v>500000</v>
      </c>
      <c r="F38" s="8">
        <f>D38*E38</f>
        <v/>
      </c>
      <c r="G38" s="8">
        <f>E38*'Gastos Generales'!G23</f>
        <v/>
      </c>
      <c r="H38" s="8">
        <f>E38*0.09</f>
        <v/>
      </c>
      <c r="I38" s="8">
        <f>E38+G38+H38</f>
        <v/>
      </c>
      <c r="J38" s="8">
        <f>D38*I38</f>
        <v/>
      </c>
      <c r="K38" s="5" t="inlineStr">
        <is>
          <t>Precio Referencial</t>
        </is>
      </c>
    </row>
    <row r="39" ht="19" customHeight="1">
      <c r="A39" s="5" t="inlineStr">
        <is>
          <t>2.5</t>
        </is>
      </c>
      <c r="B39" s="6" t="inlineStr">
        <is>
          <t>Drenes (CuboDren)</t>
        </is>
      </c>
      <c r="C39" s="5" t="inlineStr">
        <is>
          <t>m3</t>
        </is>
      </c>
      <c r="D39" s="7" t="n">
        <v>581</v>
      </c>
      <c r="E39" s="8" t="n">
        <v>48000</v>
      </c>
      <c r="F39" s="8">
        <f>D39*E39</f>
        <v/>
      </c>
      <c r="G39" s="8">
        <f>E39*'Gastos Generales'!G23</f>
        <v/>
      </c>
      <c r="H39" s="8">
        <f>E39*0.09</f>
        <v/>
      </c>
      <c r="I39" s="8">
        <f>E39+G39+H39</f>
        <v/>
      </c>
      <c r="J39" s="8">
        <f>D39*I39</f>
        <v/>
      </c>
      <c r="K39" s="5" t="inlineStr">
        <is>
          <t>Precio Referencial</t>
        </is>
      </c>
    </row>
    <row r="40" ht="19" customHeight="1">
      <c r="A40" s="5" t="inlineStr">
        <is>
          <t>2.6</t>
        </is>
      </c>
      <c r="B40" s="6" t="inlineStr">
        <is>
          <t>Portones Bodegas</t>
        </is>
      </c>
      <c r="C40" s="5" t="inlineStr">
        <is>
          <t>N°</t>
        </is>
      </c>
      <c r="D40" s="7" t="n">
        <v>32</v>
      </c>
      <c r="E40" s="8" t="n">
        <v>1800000</v>
      </c>
      <c r="F40" s="8">
        <f>D40*E40</f>
        <v/>
      </c>
      <c r="G40" s="8">
        <f>E40*'Gastos Generales'!G23</f>
        <v/>
      </c>
      <c r="H40" s="8">
        <f>E40*0.09</f>
        <v/>
      </c>
      <c r="I40" s="8">
        <f>E40+G40+H40</f>
        <v/>
      </c>
      <c r="J40" s="8">
        <f>D40*I40</f>
        <v/>
      </c>
      <c r="K40" s="5" t="inlineStr">
        <is>
          <t>Precio Referencial</t>
        </is>
      </c>
    </row>
    <row r="41" ht="19" customHeight="1">
      <c r="A41" s="5" t="inlineStr">
        <is>
          <t>2.7</t>
        </is>
      </c>
      <c r="B41" s="6" t="inlineStr">
        <is>
          <t>Puertas exteriores</t>
        </is>
      </c>
      <c r="C41" s="5" t="inlineStr">
        <is>
          <t>N°</t>
        </is>
      </c>
      <c r="D41" s="7" t="n">
        <v>32</v>
      </c>
      <c r="E41" s="8" t="n">
        <v>350000</v>
      </c>
      <c r="F41" s="8">
        <f>D41*E41</f>
        <v/>
      </c>
      <c r="G41" s="8">
        <f>E41*'Gastos Generales'!G23</f>
        <v/>
      </c>
      <c r="H41" s="8">
        <f>E41*0.09</f>
        <v/>
      </c>
      <c r="I41" s="8">
        <f>E41+G41+H41</f>
        <v/>
      </c>
      <c r="J41" s="8">
        <f>D41*I41</f>
        <v/>
      </c>
      <c r="K41" s="5" t="inlineStr">
        <is>
          <t>Precio Referencial</t>
        </is>
      </c>
    </row>
    <row r="42" ht="19" customHeight="1">
      <c r="A42" s="5" t="inlineStr">
        <is>
          <t>2.8</t>
        </is>
      </c>
      <c r="B42" s="6" t="inlineStr">
        <is>
          <t>Muros cortinas, ventanas y puertas vidriadas</t>
        </is>
      </c>
      <c r="C42" s="5" t="inlineStr">
        <is>
          <t>m2</t>
        </is>
      </c>
      <c r="D42" s="7" t="n">
        <v>781</v>
      </c>
      <c r="E42" s="8" t="n">
        <v>177000</v>
      </c>
      <c r="F42" s="8">
        <f>D42*E42</f>
        <v/>
      </c>
      <c r="G42" s="8">
        <f>E42*'Gastos Generales'!G23</f>
        <v/>
      </c>
      <c r="H42" s="8">
        <f>E42*0.09</f>
        <v/>
      </c>
      <c r="I42" s="8">
        <f>E42+G42+H42</f>
        <v/>
      </c>
      <c r="J42" s="8">
        <f>D42*I42</f>
        <v/>
      </c>
      <c r="K42" s="5" t="inlineStr">
        <is>
          <t>Precio Referencial</t>
        </is>
      </c>
    </row>
    <row r="43" ht="19" customHeight="1">
      <c r="A43" s="5" t="inlineStr">
        <is>
          <t>2.9</t>
        </is>
      </c>
      <c r="B43" s="6" t="inlineStr">
        <is>
          <t>Porteria Acogida, bicicletero y barrera acceso</t>
        </is>
      </c>
      <c r="C43" s="5" t="inlineStr">
        <is>
          <t>m2</t>
        </is>
      </c>
      <c r="D43" s="7" t="n">
        <v>58</v>
      </c>
      <c r="E43" s="8" t="n">
        <v>600000</v>
      </c>
      <c r="F43" s="8">
        <f>D43*E43</f>
        <v/>
      </c>
      <c r="G43" s="8">
        <f>E43*'Gastos Generales'!G23</f>
        <v/>
      </c>
      <c r="H43" s="8">
        <f>E43*0.09</f>
        <v/>
      </c>
      <c r="I43" s="8">
        <f>E43+G43+H43</f>
        <v/>
      </c>
      <c r="J43" s="8">
        <f>D43*I43</f>
        <v/>
      </c>
      <c r="K43" s="5" t="inlineStr">
        <is>
          <t>Precio Referencial</t>
        </is>
      </c>
    </row>
    <row r="44" ht="19" customHeight="1">
      <c r="A44" s="5" t="inlineStr">
        <is>
          <t>2.10</t>
        </is>
      </c>
      <c r="B44" s="6" t="inlineStr">
        <is>
          <t>Sala electrica</t>
        </is>
      </c>
      <c r="C44" s="5" t="inlineStr">
        <is>
          <t>m2</t>
        </is>
      </c>
      <c r="D44" s="7" t="n">
        <v>35</v>
      </c>
      <c r="E44" s="8" t="n">
        <v>700000</v>
      </c>
      <c r="F44" s="8">
        <f>D44*E44</f>
        <v/>
      </c>
      <c r="G44" s="8">
        <f>E44*'Gastos Generales'!G23</f>
        <v/>
      </c>
      <c r="H44" s="8">
        <f>E44*0.09</f>
        <v/>
      </c>
      <c r="I44" s="8">
        <f>E44+G44+H44</f>
        <v/>
      </c>
      <c r="J44" s="8">
        <f>D44*I44</f>
        <v/>
      </c>
      <c r="K44" s="5" t="inlineStr">
        <is>
          <t>Precio Referencial</t>
        </is>
      </c>
    </row>
    <row r="45" ht="19" customHeight="1">
      <c r="A45" s="5" t="inlineStr">
        <is>
          <t>2.11</t>
        </is>
      </c>
      <c r="B45" s="6" t="inlineStr">
        <is>
          <t>Sala agua potable</t>
        </is>
      </c>
      <c r="C45" s="5" t="inlineStr">
        <is>
          <t>m2</t>
        </is>
      </c>
      <c r="D45" s="7" t="n">
        <v>22</v>
      </c>
      <c r="E45" s="8" t="n">
        <v>650000</v>
      </c>
      <c r="F45" s="8">
        <f>D45*E45</f>
        <v/>
      </c>
      <c r="G45" s="8">
        <f>E45*'Gastos Generales'!G23</f>
        <v/>
      </c>
      <c r="H45" s="8">
        <f>E45*0.09</f>
        <v/>
      </c>
      <c r="I45" s="8">
        <f>E45+G45+H45</f>
        <v/>
      </c>
      <c r="J45" s="8">
        <f>D45*I45</f>
        <v/>
      </c>
      <c r="K45" s="5" t="inlineStr">
        <is>
          <t>Precio Referencial</t>
        </is>
      </c>
    </row>
    <row r="46" ht="19" customHeight="1">
      <c r="A46" s="5" t="inlineStr">
        <is>
          <t>2.12</t>
        </is>
      </c>
      <c r="B46" s="6" t="inlineStr">
        <is>
          <t>Sala residuos</t>
        </is>
      </c>
      <c r="C46" s="5" t="inlineStr">
        <is>
          <t>m2</t>
        </is>
      </c>
      <c r="D46" s="7" t="n">
        <v>24</v>
      </c>
      <c r="E46" s="8" t="n">
        <v>550000</v>
      </c>
      <c r="F46" s="8">
        <f>D46*E46</f>
        <v/>
      </c>
      <c r="G46" s="8">
        <f>E46*'Gastos Generales'!G23</f>
        <v/>
      </c>
      <c r="H46" s="8">
        <f>E46*0.09</f>
        <v/>
      </c>
      <c r="I46" s="8">
        <f>E46+G46+H46</f>
        <v/>
      </c>
      <c r="J46" s="8">
        <f>D46*I46</f>
        <v/>
      </c>
      <c r="K46" s="5" t="inlineStr">
        <is>
          <t>Precio Referencial</t>
        </is>
      </c>
    </row>
    <row r="47" ht="19" customHeight="1">
      <c r="A47" s="5" t="inlineStr">
        <is>
          <t>2.13</t>
        </is>
      </c>
      <c r="B47" s="6" t="inlineStr">
        <is>
          <t>Cierre Perimetral Acmaford</t>
        </is>
      </c>
      <c r="C47" s="5" t="inlineStr">
        <is>
          <t>ml</t>
        </is>
      </c>
      <c r="D47" s="7" t="n">
        <v>238</v>
      </c>
      <c r="E47" s="8" t="n">
        <v>30000</v>
      </c>
      <c r="F47" s="8">
        <f>D47*E47</f>
        <v/>
      </c>
      <c r="G47" s="8">
        <f>E47*'Gastos Generales'!G23</f>
        <v/>
      </c>
      <c r="H47" s="8">
        <f>E47*0.09</f>
        <v/>
      </c>
      <c r="I47" s="8">
        <f>E47+G47+H47</f>
        <v/>
      </c>
      <c r="J47" s="8">
        <f>D47*I47</f>
        <v/>
      </c>
      <c r="K47" s="5" t="inlineStr">
        <is>
          <t>Precio Referencial</t>
        </is>
      </c>
    </row>
    <row r="48" ht="19" customHeight="1">
      <c r="A48" s="9" t="inlineStr">
        <is>
          <t>2.14</t>
        </is>
      </c>
      <c r="B48" s="10" t="inlineStr">
        <is>
          <t>Cierre perimetral Bulldog</t>
        </is>
      </c>
      <c r="C48" s="9" t="inlineStr">
        <is>
          <t>ml</t>
        </is>
      </c>
      <c r="D48" s="11" t="n">
        <v>364</v>
      </c>
      <c r="E48" s="12" t="n">
        <v>52000</v>
      </c>
      <c r="F48" s="12">
        <f>D48*E48</f>
        <v/>
      </c>
      <c r="G48" s="12">
        <f>E48*'Gastos Generales'!G23</f>
        <v/>
      </c>
      <c r="H48" s="12">
        <f>E48*0.09</f>
        <v/>
      </c>
      <c r="I48" s="12">
        <f>E48+G48+H48</f>
        <v/>
      </c>
      <c r="J48" s="12">
        <f>D48*I48</f>
        <v/>
      </c>
      <c r="K48" s="9" t="inlineStr">
        <is>
          <t>APU ABIERTO G7</t>
        </is>
      </c>
    </row>
    <row r="49">
      <c r="A49" s="13" t="inlineStr">
        <is>
          <t>SUBTOTAL CAPÍTULO 2 (Costo Directo)</t>
        </is>
      </c>
      <c r="B49" s="14" t="n"/>
      <c r="C49" s="14" t="n"/>
      <c r="D49" s="14" t="n"/>
      <c r="E49" s="14" t="n"/>
      <c r="F49" s="15">
        <f>SUM(F35:F48)</f>
        <v/>
      </c>
      <c r="G49" s="14" t="n"/>
      <c r="H49" s="14" t="n"/>
      <c r="I49" s="14" t="n"/>
      <c r="J49" s="15">
        <f>SUM(J35:J48)</f>
        <v/>
      </c>
      <c r="K49" s="14" t="n"/>
    </row>
    <row r="51" ht="22" customHeight="1">
      <c r="A51" s="16" t="inlineStr">
        <is>
          <t>TOTAL COSTO DIRECTO DE OBRA (CD)</t>
        </is>
      </c>
      <c r="B51" s="17" t="n"/>
      <c r="C51" s="17" t="n"/>
      <c r="D51" s="17" t="n"/>
      <c r="E51" s="17" t="n"/>
      <c r="F51" s="18">
        <f>F33+F49</f>
        <v/>
      </c>
      <c r="G51" s="17" t="n"/>
      <c r="H51" s="17" t="n"/>
      <c r="I51" s="17" t="n"/>
      <c r="J51" s="17" t="n"/>
      <c r="K51" s="17" t="n"/>
    </row>
    <row r="52" ht="22" customHeight="1">
      <c r="A52" s="19" t="inlineStr">
        <is>
          <t>TOTAL GASTOS GENERALES (15.27% sobre CD)</t>
        </is>
      </c>
      <c r="B52" s="17" t="n"/>
      <c r="C52" s="17" t="n"/>
      <c r="D52" s="17" t="n"/>
      <c r="E52" s="17" t="n"/>
      <c r="F52" s="20">
        <f>'Gastos Generales'!F22</f>
        <v/>
      </c>
      <c r="G52" s="17" t="n"/>
      <c r="H52" s="17" t="n"/>
      <c r="I52" s="17" t="n"/>
      <c r="J52" s="17" t="n"/>
      <c r="K52" s="17" t="n"/>
    </row>
    <row r="53" ht="22" customHeight="1">
      <c r="A53" s="19" t="inlineStr">
        <is>
          <t>TOTAL UTILIDAD CONTRATISTA (9.00% sobre CD)</t>
        </is>
      </c>
      <c r="B53" s="17" t="n"/>
      <c r="C53" s="17" t="n"/>
      <c r="D53" s="17" t="n"/>
      <c r="E53" s="17" t="n"/>
      <c r="F53" s="20">
        <f>F51*0.09</f>
        <v/>
      </c>
      <c r="G53" s="17" t="n"/>
      <c r="H53" s="17" t="n"/>
      <c r="I53" s="17" t="n"/>
      <c r="J53" s="17" t="n"/>
      <c r="K53" s="17" t="n"/>
    </row>
    <row r="54" ht="22" customHeight="1">
      <c r="A54" s="21" t="inlineStr">
        <is>
          <t>VALOR NETO TOTAL DE LA OBRA (sin IVA)</t>
        </is>
      </c>
      <c r="B54" s="14" t="n"/>
      <c r="C54" s="14" t="n"/>
      <c r="D54" s="14" t="n"/>
      <c r="E54" s="14" t="n"/>
      <c r="F54" s="22">
        <f>F51+F52+F53</f>
        <v/>
      </c>
      <c r="G54" s="14" t="n"/>
      <c r="H54" s="14" t="n"/>
      <c r="I54" s="14" t="n"/>
      <c r="J54" s="14" t="n"/>
      <c r="K54" s="14" t="n"/>
    </row>
    <row r="55" ht="22" customHeight="1">
      <c r="A55" s="19" t="inlineStr">
        <is>
          <t>IMPUESTO AL VALOR AGREGADO (IVA 19%)</t>
        </is>
      </c>
      <c r="B55" s="17" t="n"/>
      <c r="C55" s="17" t="n"/>
      <c r="D55" s="17" t="n"/>
      <c r="E55" s="17" t="n"/>
      <c r="F55" s="20">
        <f>F54*0.19</f>
        <v/>
      </c>
      <c r="G55" s="17" t="n"/>
      <c r="H55" s="17" t="n"/>
      <c r="I55" s="17" t="n"/>
      <c r="J55" s="17" t="n"/>
      <c r="K55" s="17" t="n"/>
    </row>
    <row r="56" ht="22" customHeight="1">
      <c r="A56" s="23" t="inlineStr">
        <is>
          <t>PRESUPUESTO TOTAL DE LA OBRA (con IVA)</t>
        </is>
      </c>
      <c r="B56" s="24" t="n"/>
      <c r="C56" s="24" t="n"/>
      <c r="D56" s="24" t="n"/>
      <c r="E56" s="24" t="n"/>
      <c r="F56" s="25">
        <f>F54+F55</f>
        <v/>
      </c>
      <c r="G56" s="24" t="n"/>
      <c r="H56" s="24" t="n"/>
      <c r="I56" s="24" t="n"/>
      <c r="J56" s="24" t="n"/>
      <c r="K56" s="24" t="n"/>
    </row>
  </sheetData>
  <mergeCells count="18">
    <mergeCell ref="A53:E53"/>
    <mergeCell ref="A55:E55"/>
    <mergeCell ref="A34:K34"/>
    <mergeCell ref="G52:K52"/>
    <mergeCell ref="G56:K56"/>
    <mergeCell ref="G51:K51"/>
    <mergeCell ref="A54:E54"/>
    <mergeCell ref="A52:E52"/>
    <mergeCell ref="G54:K54"/>
    <mergeCell ref="A33:E33"/>
    <mergeCell ref="A2:K2"/>
    <mergeCell ref="A49:E49"/>
    <mergeCell ref="A51:E51"/>
    <mergeCell ref="A5:K5"/>
    <mergeCell ref="G53:K53"/>
    <mergeCell ref="A56:E56"/>
    <mergeCell ref="A1:K1"/>
    <mergeCell ref="G55:K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2" customWidth="1" min="4" max="4"/>
    <col width="16" customWidth="1" min="5" max="5"/>
    <col width="18" customWidth="1" min="6" max="6"/>
    <col width="55" customWidth="1" min="7" max="7"/>
  </cols>
  <sheetData>
    <row r="1" ht="25" customHeight="1">
      <c r="A1" s="1" t="inlineStr">
        <is>
          <t>ANÁLISIS DETALLADO DE GASTOS GENERALES — 18 ÍTEMS EXIGIDOS</t>
        </is>
      </c>
    </row>
    <row r="2" ht="18" customHeight="1">
      <c r="A2" s="2" t="inlineStr">
        <is>
          <t>Proyecto: Bodegas BSL Quilicura | Plazo contractual: 9 meses (Marzo a Noviembre 2026)</t>
        </is>
      </c>
    </row>
    <row r="4" ht="25" customHeight="1">
      <c r="A4" s="26" t="inlineStr">
        <is>
          <t>N°</t>
        </is>
      </c>
      <c r="B4" s="26" t="inlineStr">
        <is>
          <t>Ítem de Gasto General (Enunciado Oficial)</t>
        </is>
      </c>
      <c r="C4" s="26" t="inlineStr">
        <is>
          <t>Costo Mensual ($)</t>
        </is>
      </c>
      <c r="D4" s="26" t="inlineStr">
        <is>
          <t>Meses de Obra</t>
        </is>
      </c>
      <c r="E4" s="26" t="inlineStr">
        <is>
          <t>Costo Fijo / Único ($)</t>
        </is>
      </c>
      <c r="F4" s="26" t="inlineStr">
        <is>
          <t>Monto Total Ítem ($)</t>
        </is>
      </c>
      <c r="G4" s="26" t="inlineStr">
        <is>
          <t>Justificación Técnica y Composición</t>
        </is>
      </c>
    </row>
    <row r="5" ht="22" customHeight="1">
      <c r="A5" s="27" t="n">
        <v>1</v>
      </c>
      <c r="B5" s="28" t="inlineStr">
        <is>
          <t>Personal administrativo y directivo del contrato (Administrador, Jefe de Terreno, 2 Ing. Oficina Técnica, Prevencionista APR, Topógrafo)</t>
        </is>
      </c>
      <c r="C5" s="29" t="n">
        <v>23500000</v>
      </c>
      <c r="D5" s="27" t="n">
        <v>9</v>
      </c>
      <c r="E5" s="29" t="n">
        <v>0</v>
      </c>
      <c r="F5" s="30">
        <f>(C5*D5)+E5</f>
        <v/>
      </c>
      <c r="G5" s="6" t="inlineStr">
        <is>
          <t>Sueldos brutos + 32% leyes sociales (FAS): Administrador ($4.5M neto), Jefe de Terreno ($3.2M), 2 Ing. Oficina Técnica ($2.2M c/u), APR ($2.0M), Topógrafo ($1.8M), Jefe Admin ($2.0M).</t>
        </is>
      </c>
    </row>
    <row r="6" ht="22" customHeight="1">
      <c r="A6" s="27" t="n">
        <v>2</v>
      </c>
      <c r="B6" s="28" t="inlineStr">
        <is>
          <t>Personal auxiliar (2 Alarifes, 2 Bodegueros/Pañoleros, Aseo faena, Servicio de vigilancia 24/7)</t>
        </is>
      </c>
      <c r="C6" s="29" t="n">
        <v>11800000</v>
      </c>
      <c r="D6" s="27" t="n">
        <v>9</v>
      </c>
      <c r="E6" s="29" t="n">
        <v>0</v>
      </c>
      <c r="F6" s="30">
        <f>(C6*D6)+E6</f>
        <v/>
      </c>
      <c r="G6" s="6" t="inlineStr">
        <is>
          <t>Alarifes, bodegueros, aseadores y servicio externo de seguridad 24/7 con guardias certificados OS-10 para predio de 2,5 ha.</t>
        </is>
      </c>
    </row>
    <row r="7" ht="22" customHeight="1">
      <c r="A7" s="27" t="n">
        <v>3</v>
      </c>
      <c r="B7" s="28" t="inlineStr">
        <is>
          <t>Equipamiento de topografía</t>
        </is>
      </c>
      <c r="C7" s="29" t="n">
        <v>1400000</v>
      </c>
      <c r="D7" s="27" t="n">
        <v>9</v>
      </c>
      <c r="E7" s="29" t="n">
        <v>0</v>
      </c>
      <c r="F7" s="30">
        <f>(C7*D7)+E7</f>
        <v/>
      </c>
      <c r="G7" s="6" t="inlineStr">
        <is>
          <t>Arriendo mensual de 1 Estación Total robótica de alta precisión, 2 niveles ópticos, miras de invar, prismas y GPS submétrico.</t>
        </is>
      </c>
    </row>
    <row r="8" ht="22" customHeight="1">
      <c r="A8" s="27" t="n">
        <v>4</v>
      </c>
      <c r="B8" s="28" t="inlineStr">
        <is>
          <t>Laboratorio, estudios de suelo y estructural</t>
        </is>
      </c>
      <c r="C8" s="29" t="n">
        <v>4200000</v>
      </c>
      <c r="D8" s="27" t="n">
        <v>9</v>
      </c>
      <c r="E8" s="29" t="n">
        <v>0</v>
      </c>
      <c r="F8" s="30">
        <f>(C8*D8)+E8</f>
        <v/>
      </c>
      <c r="G8" s="6" t="inlineStr">
        <is>
          <t>Ensayes de densidades in situ (cono/nuclear) para 20.000 m3 de rellenos y rotura de probetas cilíndricas (R7, R28) para más de 4.000 m3 de hormigón estructural.</t>
        </is>
      </c>
    </row>
    <row r="9" ht="22" customHeight="1">
      <c r="A9" s="27" t="n">
        <v>5</v>
      </c>
      <c r="B9" s="28" t="inlineStr">
        <is>
          <t>Insumos de instalaciones (agua potable, electricidad provisoria, gas, internet/telefonía)</t>
        </is>
      </c>
      <c r="C9" s="29" t="n">
        <v>3600000</v>
      </c>
      <c r="D9" s="27" t="n">
        <v>9</v>
      </c>
      <c r="E9" s="29" t="n">
        <v>0</v>
      </c>
      <c r="F9" s="30">
        <f>(C9*D9)+E9</f>
        <v/>
      </c>
      <c r="G9" s="6" t="inlineStr">
        <is>
          <t>Consumo de agua potable en aljibe (50 m3/semana), consumo de energía eléctrica trifásica provisoria de faena, recarga de gas y enlace de fibra óptica dedicado.</t>
        </is>
      </c>
    </row>
    <row r="10" ht="22" customHeight="1">
      <c r="A10" s="27" t="n">
        <v>6</v>
      </c>
      <c r="B10" s="28" t="inlineStr">
        <is>
          <t>Fotografías, videos, planos</t>
        </is>
      </c>
      <c r="C10" s="29" t="n">
        <v>950000</v>
      </c>
      <c r="D10" s="27" t="n">
        <v>9</v>
      </c>
      <c r="E10" s="29" t="n">
        <v>0</v>
      </c>
      <c r="F10" s="30">
        <f>(C10*D10)+E10</f>
        <v/>
      </c>
      <c r="G10" s="6" t="inlineStr">
        <is>
          <t>Levantamiento aerofotogramétrico mensual con dron, registro fotográfico de hitos para ITO, y ploteo continuo de planos de faena y As-Built finales.</t>
        </is>
      </c>
    </row>
    <row r="11" ht="22" customHeight="1">
      <c r="A11" s="27" t="n">
        <v>7</v>
      </c>
      <c r="B11" s="28" t="inlineStr">
        <is>
          <t>Movilización de faena</t>
        </is>
      </c>
      <c r="C11" s="29" t="n">
        <v>2800000</v>
      </c>
      <c r="D11" s="27" t="n">
        <v>9</v>
      </c>
      <c r="E11" s="29" t="n">
        <v>0</v>
      </c>
      <c r="F11" s="30">
        <f>(C11*D11)+E11</f>
        <v/>
      </c>
      <c r="G11" s="6" t="inlineStr">
        <is>
          <t>Arriendo, mantención, seguros y tag de 2 camionetas 4x4 doble cabina para supervisión de obra y traslados.</t>
        </is>
      </c>
    </row>
    <row r="12" ht="22" customHeight="1">
      <c r="A12" s="27" t="n">
        <v>8</v>
      </c>
      <c r="B12" s="28" t="inlineStr">
        <is>
          <t>Combustible</t>
        </is>
      </c>
      <c r="C12" s="29" t="n">
        <v>2400000</v>
      </c>
      <c r="D12" s="27" t="n">
        <v>9</v>
      </c>
      <c r="E12" s="29" t="n">
        <v>0</v>
      </c>
      <c r="F12" s="30">
        <f>(C12*D12)+E12</f>
        <v/>
      </c>
      <c r="G12" s="6" t="inlineStr">
        <is>
          <t>Diésel para camionetas de supervisión y generadores auxiliares de iluminación y faena.</t>
        </is>
      </c>
    </row>
    <row r="13" ht="22" customHeight="1">
      <c r="A13" s="27" t="n">
        <v>9</v>
      </c>
      <c r="B13" s="28" t="inlineStr">
        <is>
          <t>Viáticos y asignaciones de personal</t>
        </is>
      </c>
      <c r="C13" s="29" t="n">
        <v>1800000</v>
      </c>
      <c r="D13" s="27" t="n">
        <v>9</v>
      </c>
      <c r="E13" s="29" t="n">
        <v>0</v>
      </c>
      <c r="F13" s="30">
        <f>(C13*D13)+E13</f>
        <v/>
      </c>
      <c r="G13" s="6" t="inlineStr">
        <is>
          <t>Servicio de almuerzos en casino de obra y bono de movilización para el personal indirecto de faena.</t>
        </is>
      </c>
    </row>
    <row r="14" ht="22" customHeight="1">
      <c r="A14" s="27" t="n">
        <v>10</v>
      </c>
      <c r="B14" s="28" t="inlineStr">
        <is>
          <t>Traslado de maquinarias</t>
        </is>
      </c>
      <c r="C14" s="29" t="n">
        <v>0</v>
      </c>
      <c r="D14" s="27" t="n">
        <v>0</v>
      </c>
      <c r="E14" s="29" t="n">
        <v>12500000</v>
      </c>
      <c r="F14" s="30">
        <f>(C14*D14)+E14</f>
        <v/>
      </c>
      <c r="G14" s="6" t="inlineStr">
        <is>
          <t>Transporte en camas bajas de maquinaria pesada: 2 excavadoras 20t, 2 rodillos 10t, 1 motoniveladora y 1 grúa telescópica 50t (ida y vuelta).</t>
        </is>
      </c>
    </row>
    <row r="15" ht="22" customHeight="1">
      <c r="A15" s="27" t="n">
        <v>11</v>
      </c>
      <c r="B15" s="28" t="inlineStr">
        <is>
          <t>Gastos de representación y oficina central (Overhead)</t>
        </is>
      </c>
      <c r="C15" s="29" t="n">
        <v>7800000</v>
      </c>
      <c r="D15" s="27" t="n">
        <v>9</v>
      </c>
      <c r="E15" s="29" t="n">
        <v>0</v>
      </c>
      <c r="F15" s="30">
        <f>(C15*D15)+E15</f>
        <v/>
      </c>
      <c r="G15" s="6" t="inlineStr">
        <is>
          <t>Prorrateo de costos fijos de casa matriz asignados a la obra: dirección técnica, gerencia de operaciones, legal, contabilidad, ERP y seguros corporativos.</t>
        </is>
      </c>
    </row>
    <row r="16" ht="22" customHeight="1">
      <c r="A16" s="27" t="n">
        <v>12</v>
      </c>
      <c r="B16" s="28" t="inlineStr">
        <is>
          <t>Boleta de garantía</t>
        </is>
      </c>
      <c r="C16" s="29" t="n">
        <v>0</v>
      </c>
      <c r="D16" s="27" t="n">
        <v>0</v>
      </c>
      <c r="E16" s="29" t="n">
        <v>32000000</v>
      </c>
      <c r="F16" s="30">
        <f>(C16*D16)+E16</f>
        <v/>
      </c>
      <c r="G16" s="6" t="inlineStr">
        <is>
          <t>Costo financiero por emisión bancaria de boletas de garantía de fiel cumplimiento de contrato (5% valor obra) y correcta inversión de anticipo durante el plazo contractual.</t>
        </is>
      </c>
    </row>
    <row r="17" ht="22" customHeight="1">
      <c r="A17" s="27" t="n">
        <v>13</v>
      </c>
      <c r="B17" s="28" t="inlineStr">
        <is>
          <t>Seguro de Todo Riesgo Montaje y Construcción (TRC) y Responsabilidad Civil</t>
        </is>
      </c>
      <c r="C17" s="29" t="n">
        <v>0</v>
      </c>
      <c r="D17" s="27" t="n">
        <v>0</v>
      </c>
      <c r="E17" s="29" t="n">
        <v>35000000</v>
      </c>
      <c r="F17" s="30">
        <f>(C17*D17)+E17</f>
        <v/>
      </c>
      <c r="G17" s="6" t="inlineStr">
        <is>
          <t>Prima única de póliza Todo Riesgo Construcción y Montaje (TRC) que cubre daños a la obra, eventos climáticos y Responsabilidad Civil patronal y ante terceros hasta 15.000 UF.</t>
        </is>
      </c>
    </row>
    <row r="18" ht="22" customHeight="1">
      <c r="A18" s="27" t="n">
        <v>14</v>
      </c>
      <c r="B18" s="28" t="inlineStr">
        <is>
          <t>Letrero de obras</t>
        </is>
      </c>
      <c r="C18" s="29" t="n">
        <v>0</v>
      </c>
      <c r="D18" s="27" t="n">
        <v>0</v>
      </c>
      <c r="E18" s="29" t="n">
        <v>2500000</v>
      </c>
      <c r="F18" s="30">
        <f>(C18*D18)+E18</f>
        <v/>
      </c>
      <c r="G18" s="6" t="inlineStr">
        <is>
          <t>Fabricación, estructura de soporte y montaje de letrero gigantografía de obra según estándares municipales y del mandante.</t>
        </is>
      </c>
    </row>
    <row r="19" ht="22" customHeight="1">
      <c r="A19" s="27" t="n">
        <v>15</v>
      </c>
      <c r="B19" s="28" t="inlineStr">
        <is>
          <t>Libro de Obra Digital (LOD)</t>
        </is>
      </c>
      <c r="C19" s="29" t="n">
        <v>450000</v>
      </c>
      <c r="D19" s="27" t="n">
        <v>9</v>
      </c>
      <c r="E19" s="29" t="n">
        <v>0</v>
      </c>
      <c r="F19" s="30">
        <f>(C19*D19)+E19</f>
        <v/>
      </c>
      <c r="G19" s="6" t="inlineStr">
        <is>
          <t>Suscripción obligatoria y soporte a plataforma oficial de Libro de Obras Digital con firma electrónica avanzada.</t>
        </is>
      </c>
    </row>
    <row r="20" ht="22" customHeight="1">
      <c r="A20" s="27" t="n">
        <v>16</v>
      </c>
      <c r="B20" s="28" t="inlineStr">
        <is>
          <t>Limpieza de obra diaria y retiro de escombros</t>
        </is>
      </c>
      <c r="C20" s="29" t="n">
        <v>3200000</v>
      </c>
      <c r="D20" s="27" t="n">
        <v>9</v>
      </c>
      <c r="E20" s="29" t="n">
        <v>0</v>
      </c>
      <c r="F20" s="30">
        <f>(C20*D20)+E20</f>
        <v/>
      </c>
      <c r="G20" s="6" t="inlineStr">
        <is>
          <t>Cuadrilla permanente de aseo de faena, tolvas cerradas de acopio de residuos y retiro periódico con camión amplirrol a vertedero autorizado.</t>
        </is>
      </c>
    </row>
    <row r="21" ht="22" customHeight="1">
      <c r="A21" s="27" t="n">
        <v>17</v>
      </c>
      <c r="B21" s="28" t="inlineStr">
        <is>
          <t>Limpieza final de obra</t>
        </is>
      </c>
      <c r="C21" s="29" t="n">
        <v>0</v>
      </c>
      <c r="D21" s="27" t="n">
        <v>0</v>
      </c>
      <c r="E21" s="29" t="n">
        <v>9500000</v>
      </c>
      <c r="F21" s="30">
        <f>(C21*D21)+E21</f>
        <v/>
      </c>
      <c r="G21" s="6" t="inlineStr">
        <is>
          <t>Aseo fino industrial de entrega: lavado a presión y decapado de pavimentos, limpieza profunda de vidrios en muro cortina, pintura de retoque y desinfección total.</t>
        </is>
      </c>
    </row>
    <row r="22" ht="22" customHeight="1">
      <c r="A22" s="27" t="n">
        <v>18</v>
      </c>
      <c r="B22" s="28" t="inlineStr">
        <is>
          <t>Instalación de faenas modular (arriendo y montaje)</t>
        </is>
      </c>
      <c r="C22" s="29" t="n">
        <v>3800000</v>
      </c>
      <c r="D22" s="27" t="n">
        <v>9</v>
      </c>
      <c r="E22" s="29" t="n">
        <v>6800000</v>
      </c>
      <c r="F22" s="30">
        <f>(C22*D22)+E22</f>
        <v/>
      </c>
      <c r="G22" s="6" t="inlineStr">
        <is>
          <t>Flete, grúa, montaje, arriendo mensual y posterior desmantelamiento de baterías de contenedores (4 oficinas técnicas, 2 comedores, 2 vestidores con duchas y 1 pañol).</t>
        </is>
      </c>
    </row>
    <row r="23" ht="24" customHeight="1">
      <c r="A23" s="31" t="inlineStr">
        <is>
          <t>TOTAL GASTOS GENERALES DE LA OBRA</t>
        </is>
      </c>
      <c r="B23" s="32" t="n"/>
      <c r="C23" s="32" t="n"/>
      <c r="D23" s="32" t="n"/>
      <c r="E23" s="32" t="n"/>
      <c r="F23" s="33">
        <f>SUM(F5:F22)</f>
        <v/>
      </c>
      <c r="G23" s="32" t="n"/>
    </row>
    <row r="24" ht="22" customHeight="1">
      <c r="A24" s="16" t="inlineStr">
        <is>
          <t>PORCENTAJE DE GASTOS GENERALES RESPECTO AL COSTO DIRECTO</t>
        </is>
      </c>
      <c r="B24" s="17" t="n"/>
      <c r="C24" s="17" t="n"/>
      <c r="D24" s="17" t="n"/>
      <c r="E24" s="17" t="n"/>
      <c r="F24" s="34">
        <f>F23/'Presupuesto General'!F49</f>
        <v/>
      </c>
      <c r="G24" s="35">
        <f>F23/'Presupuesto General'!F49</f>
        <v/>
      </c>
    </row>
  </sheetData>
  <mergeCells count="4">
    <mergeCell ref="A2:G2"/>
    <mergeCell ref="A23:E23"/>
    <mergeCell ref="A1:G1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2026-10-18T23:12:39Z</dcterms:created>
  <dcterms:modified xmlns:dcterms="http://purl.org/dc/terms/" xmlns:xsi="http://www.w3.org/2001/XMLSchema-instance" xsi:type="dcterms:W3CDTF">2026-10-18T23:12:39Z</dcterms:modified>
</cp:coreProperties>
</file>