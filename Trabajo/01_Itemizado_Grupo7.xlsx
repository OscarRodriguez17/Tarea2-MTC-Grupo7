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temizado Grupo 7" sheetId="1" state="visible" r:id="rId1"/>
    <sheet xmlns:r="http://schemas.openxmlformats.org/officeDocument/2006/relationships" name="Insumos y Rendimientos" sheetId="2" state="visible" r:id="rId2"/>
    <sheet xmlns:r="http://schemas.openxmlformats.org/officeDocument/2006/relationships" name="Gastos General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C00000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D96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3" fillId="4" borderId="1" pivotButton="0" quotePrefix="0" xfId="0"/>
    <xf numFmtId="0" fontId="2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3" fontId="0" fillId="0" borderId="1" pivotButton="0" quotePrefix="0" xfId="0"/>
    <xf numFmtId="0" fontId="4" fillId="0" borderId="0" pivotButton="0" quotePrefix="0" xfId="0"/>
    <xf numFmtId="0" fontId="2" fillId="5" borderId="1" pivotButton="0" quotePrefix="0" xfId="0"/>
    <xf numFmtId="3" fontId="0" fillId="5" borderId="1" pivotButton="0" quotePrefix="0" xfId="0"/>
    <xf numFmtId="10" fontId="0" fillId="5" borderId="1" pivotButton="0" quotePrefix="0" xfId="0"/>
    <xf numFmtId="0" fontId="2" fillId="6" borderId="1" pivotButton="0" quotePrefix="0" xfId="0"/>
    <xf numFmtId="3" fontId="0" fillId="6" borderId="1" pivotButton="0" quotePrefix="0" xfId="0"/>
    <xf numFmtId="3" fontId="0" fillId="0" borderId="0" pivotButton="0" quotePrefix="0" xfId="0"/>
    <xf numFmtId="10" fontId="0" fillId="0" borderId="0" pivotButton="0" quotePrefix="0" xfId="0"/>
    <xf numFmtId="0" fontId="2" fillId="3" borderId="1" applyAlignment="1" pivotButton="0" quotePrefix="0" xfId="0">
      <alignment vertical="center"/>
    </xf>
    <xf numFmtId="0" fontId="2" fillId="3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2" customWidth="1" min="2" max="2"/>
    <col width="8" customWidth="1" min="3" max="3"/>
    <col width="16" customWidth="1" min="4" max="4"/>
    <col width="16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ÍTEM</t>
        </is>
      </c>
      <c r="B1" s="1" t="inlineStr">
        <is>
          <t>DESCRIPCIÓN</t>
        </is>
      </c>
      <c r="C1" s="1" t="inlineStr">
        <is>
          <t>UNIDAD</t>
        </is>
      </c>
      <c r="D1" s="1" t="inlineStr">
        <is>
          <t>CANTIDAD OBRA (ref.)</t>
        </is>
      </c>
      <c r="E1" s="1" t="inlineStr">
        <is>
          <t>CANTIDAD GRUPO 7</t>
        </is>
      </c>
      <c r="F1" s="1" t="inlineStr">
        <is>
          <t>PU DETALLADO</t>
        </is>
      </c>
      <c r="G1" s="1" t="inlineStr">
        <is>
          <t>PU REF. ($/unidad)</t>
        </is>
      </c>
      <c r="H1" s="1" t="inlineStr">
        <is>
          <t>MONTO ($)</t>
        </is>
      </c>
    </row>
    <row r="2">
      <c r="A2" s="18" t="n">
        <v>1</v>
      </c>
      <c r="B2" s="19" t="inlineStr">
        <is>
          <t>1.0  MOVIMIENTO DE TIERRAS, FUNDACIONES Y VIALIDAD</t>
        </is>
      </c>
      <c r="C2" s="19" t="n"/>
      <c r="D2" s="19" t="n"/>
      <c r="E2" s="19" t="n"/>
      <c r="F2" s="19" t="n"/>
      <c r="G2" s="19" t="n"/>
      <c r="H2" s="19" t="n"/>
    </row>
    <row r="3">
      <c r="A3" s="3" t="inlineStr">
        <is>
          <t>1.1</t>
        </is>
      </c>
      <c r="B3" s="3" t="inlineStr">
        <is>
          <t>Excavación en TCN Caminos</t>
        </is>
      </c>
      <c r="C3" s="3" t="inlineStr">
        <is>
          <t>m3</t>
        </is>
      </c>
      <c r="D3" s="3" t="n">
        <v>423</v>
      </c>
      <c r="E3" s="3" t="n">
        <v>466</v>
      </c>
      <c r="F3" s="3" t="inlineStr"/>
      <c r="G3" s="9" t="n"/>
      <c r="H3" s="9">
        <f>IF(G3="","",E3*G3)</f>
        <v/>
      </c>
    </row>
    <row r="4">
      <c r="A4" s="3" t="inlineStr">
        <is>
          <t>1.2</t>
        </is>
      </c>
      <c r="B4" s="3" t="inlineStr">
        <is>
          <t>Excavación en TCN Bodegas</t>
        </is>
      </c>
      <c r="C4" s="3" t="inlineStr">
        <is>
          <t>m3</t>
        </is>
      </c>
      <c r="D4" s="3" t="n">
        <v>18466</v>
      </c>
      <c r="E4" s="3" t="n">
        <v>20354</v>
      </c>
      <c r="F4" s="3" t="inlineStr"/>
      <c r="G4" s="9" t="n"/>
      <c r="H4" s="9">
        <f>IF(G4="","",E4*G4)</f>
        <v/>
      </c>
    </row>
    <row r="5">
      <c r="A5" s="3" t="inlineStr">
        <is>
          <t>1.3</t>
        </is>
      </c>
      <c r="B5" s="3" t="inlineStr">
        <is>
          <t>Mejoramiento Fundaciones con integral natural (1,5 m.)</t>
        </is>
      </c>
      <c r="C5" s="3" t="inlineStr">
        <is>
          <t>m3</t>
        </is>
      </c>
      <c r="D5" s="3" t="n">
        <v>7022</v>
      </c>
      <c r="E5" s="3" t="n">
        <v>7740</v>
      </c>
      <c r="F5" s="3" t="inlineStr"/>
      <c r="G5" s="9" t="n"/>
      <c r="H5" s="9">
        <f>IF(G5="","",E5*G5)</f>
        <v/>
      </c>
    </row>
    <row r="6">
      <c r="A6" s="3" t="inlineStr">
        <is>
          <t>1.4</t>
        </is>
      </c>
      <c r="B6" s="3" t="inlineStr">
        <is>
          <t>Mejoramiento Fundaciones con integral natural (0,5 m.)</t>
        </is>
      </c>
      <c r="C6" s="3" t="inlineStr">
        <is>
          <t>m3</t>
        </is>
      </c>
      <c r="D6" s="3" t="n">
        <v>2671</v>
      </c>
      <c r="E6" s="3" t="n">
        <v>2944</v>
      </c>
      <c r="F6" s="3" t="inlineStr"/>
      <c r="G6" s="9" t="n"/>
      <c r="H6" s="9">
        <f>IF(G6="","",E6*G6)</f>
        <v/>
      </c>
    </row>
    <row r="7">
      <c r="A7" s="3" t="inlineStr">
        <is>
          <t>1.5</t>
        </is>
      </c>
      <c r="B7" s="3" t="inlineStr">
        <is>
          <t>Relleno Estructural bajo 2" (entre Fundaciones hasta Subrasante)</t>
        </is>
      </c>
      <c r="C7" s="3" t="inlineStr">
        <is>
          <t>m3</t>
        </is>
      </c>
      <c r="D7" s="3" t="n">
        <v>1994</v>
      </c>
      <c r="E7" s="3" t="n">
        <v>2198</v>
      </c>
      <c r="F7" s="3" t="inlineStr"/>
      <c r="G7" s="9" t="n"/>
      <c r="H7" s="9">
        <f>IF(G7="","",E7*G7)</f>
        <v/>
      </c>
    </row>
    <row r="8">
      <c r="A8" s="3" t="inlineStr">
        <is>
          <t>1.6</t>
        </is>
      </c>
      <c r="B8" s="3" t="inlineStr">
        <is>
          <t>Relleno Estructural bajo 6" (entre Fundaciones hasta Subrasante)</t>
        </is>
      </c>
      <c r="C8" s="3" t="inlineStr">
        <is>
          <t>m3</t>
        </is>
      </c>
      <c r="D8" s="3" t="n">
        <v>2993</v>
      </c>
      <c r="E8" s="3" t="n">
        <v>3299</v>
      </c>
      <c r="F8" s="3" t="inlineStr"/>
      <c r="G8" s="9" t="n"/>
      <c r="H8" s="9">
        <f>IF(G8="","",E8*G8)</f>
        <v/>
      </c>
    </row>
    <row r="9">
      <c r="A9" s="3" t="inlineStr">
        <is>
          <t>1.7</t>
        </is>
      </c>
      <c r="B9" s="3" t="inlineStr">
        <is>
          <t>Relleno Estructural bajo 2" Bodegas, Oficinas, VF</t>
        </is>
      </c>
      <c r="C9" s="3" t="inlineStr">
        <is>
          <t>m3</t>
        </is>
      </c>
      <c r="D9" s="3" t="n">
        <v>3082</v>
      </c>
      <c r="E9" s="3" t="n">
        <v>3398</v>
      </c>
      <c r="F9" s="3" t="inlineStr"/>
      <c r="G9" s="9" t="n"/>
      <c r="H9" s="9">
        <f>IF(G9="","",E9*G9)</f>
        <v/>
      </c>
    </row>
    <row r="10">
      <c r="A10" s="3" t="inlineStr">
        <is>
          <t>1.8</t>
        </is>
      </c>
      <c r="B10" s="3" t="inlineStr">
        <is>
          <t>Terraplén caminos y areas de servicio</t>
        </is>
      </c>
      <c r="C10" s="3" t="inlineStr">
        <is>
          <t>m3</t>
        </is>
      </c>
      <c r="D10" s="3" t="n">
        <v>1774</v>
      </c>
      <c r="E10" s="3" t="n">
        <v>1955</v>
      </c>
      <c r="F10" s="3" t="inlineStr"/>
      <c r="G10" s="9" t="n"/>
      <c r="H10" s="9">
        <f>IF(G10="","",E10*G10)</f>
        <v/>
      </c>
    </row>
    <row r="11">
      <c r="A11" s="3" t="inlineStr">
        <is>
          <t>1.9</t>
        </is>
      </c>
      <c r="B11" s="3" t="inlineStr">
        <is>
          <t>Terraplén bajo radier bodegas</t>
        </is>
      </c>
      <c r="C11" s="3" t="inlineStr">
        <is>
          <t>m3</t>
        </is>
      </c>
      <c r="D11" s="3" t="n">
        <v>1541</v>
      </c>
      <c r="E11" s="3" t="n">
        <v>1699</v>
      </c>
      <c r="F11" s="3" t="inlineStr"/>
      <c r="G11" s="9" t="n"/>
      <c r="H11" s="9">
        <f>IF(G11="","",E11*G11)</f>
        <v/>
      </c>
    </row>
    <row r="12">
      <c r="A12" s="3" t="inlineStr">
        <is>
          <t>1.10</t>
        </is>
      </c>
      <c r="B12" s="3" t="inlineStr">
        <is>
          <t>Preparación de la Subrasante Bodegas</t>
        </is>
      </c>
      <c r="C12" s="3" t="inlineStr">
        <is>
          <t>m2</t>
        </is>
      </c>
      <c r="D12" s="3" t="n">
        <v>14536</v>
      </c>
      <c r="E12" s="3" t="n">
        <v>16024</v>
      </c>
      <c r="F12" s="3" t="inlineStr"/>
      <c r="G12" s="9" t="n"/>
      <c r="H12" s="9">
        <f>IF(G12="","",E12*G12)</f>
        <v/>
      </c>
    </row>
    <row r="13">
      <c r="A13" s="3" t="inlineStr">
        <is>
          <t>1.11</t>
        </is>
      </c>
      <c r="B13" s="3" t="inlineStr">
        <is>
          <t>Preparación de la Subrasante Caminos y Areas de Servicio</t>
        </is>
      </c>
      <c r="C13" s="3" t="inlineStr">
        <is>
          <t>m2</t>
        </is>
      </c>
      <c r="D13" s="3" t="n">
        <v>8850</v>
      </c>
      <c r="E13" s="3" t="n">
        <v>9756</v>
      </c>
      <c r="F13" s="3" t="inlineStr"/>
      <c r="G13" s="9" t="n"/>
      <c r="H13" s="9">
        <f>IF(G13="","",E13*G13)</f>
        <v/>
      </c>
    </row>
    <row r="14">
      <c r="A14" s="3" t="inlineStr">
        <is>
          <t>1.12</t>
        </is>
      </c>
      <c r="B14" s="3" t="inlineStr">
        <is>
          <t>Base Granular Caminos</t>
        </is>
      </c>
      <c r="C14" s="3" t="inlineStr">
        <is>
          <t>m3</t>
        </is>
      </c>
      <c r="D14" s="3" t="n">
        <v>1782</v>
      </c>
      <c r="E14" s="3" t="n">
        <v>1965</v>
      </c>
      <c r="F14" s="3" t="inlineStr"/>
      <c r="G14" s="9" t="n"/>
      <c r="H14" s="9">
        <f>IF(G14="","",E14*G14)</f>
        <v/>
      </c>
    </row>
    <row r="15">
      <c r="A15" s="3" t="inlineStr">
        <is>
          <t>1.13</t>
        </is>
      </c>
      <c r="B15" s="3" t="inlineStr">
        <is>
          <t>Base Granular Bodegas</t>
        </is>
      </c>
      <c r="C15" s="3" t="inlineStr">
        <is>
          <t>m3</t>
        </is>
      </c>
      <c r="D15" s="3" t="n">
        <v>2907</v>
      </c>
      <c r="E15" s="3" t="n">
        <v>3204</v>
      </c>
      <c r="F15" s="3" t="inlineStr"/>
      <c r="G15" s="9" t="n"/>
      <c r="H15" s="9">
        <f>IF(G15="","",E15*G15)</f>
        <v/>
      </c>
    </row>
    <row r="16">
      <c r="A16" s="4" t="inlineStr">
        <is>
          <t>1.14</t>
        </is>
      </c>
      <c r="B16" s="4" t="inlineStr">
        <is>
          <t>Hormigón G-25 radier (malla acma C-92)</t>
        </is>
      </c>
      <c r="C16" s="4" t="inlineStr">
        <is>
          <t>m3</t>
        </is>
      </c>
      <c r="D16" s="4" t="n">
        <v>2180</v>
      </c>
      <c r="E16" s="4" t="n">
        <v>2403</v>
      </c>
      <c r="F16" s="5" t="inlineStr">
        <is>
          <t>X</t>
        </is>
      </c>
      <c r="G16" s="9" t="n"/>
      <c r="H16" s="9">
        <f>IF(G16="","",E16*G16)</f>
        <v/>
      </c>
    </row>
    <row r="17">
      <c r="A17" s="3" t="inlineStr">
        <is>
          <t>1.15</t>
        </is>
      </c>
      <c r="B17" s="3" t="inlineStr">
        <is>
          <t>Hormigón G-35 calles</t>
        </is>
      </c>
      <c r="C17" s="3" t="inlineStr">
        <is>
          <t>m3</t>
        </is>
      </c>
      <c r="D17" s="3" t="n">
        <v>1595</v>
      </c>
      <c r="E17" s="3" t="n">
        <v>1758</v>
      </c>
      <c r="F17" s="3" t="inlineStr"/>
      <c r="G17" s="9" t="n"/>
      <c r="H17" s="9">
        <f>IF(G17="","",E17*G17)</f>
        <v/>
      </c>
    </row>
    <row r="18">
      <c r="A18" s="3" t="inlineStr">
        <is>
          <t>1.16</t>
        </is>
      </c>
      <c r="B18" s="3" t="inlineStr">
        <is>
          <t>Hormigón G-25 Fundaciones Zapatas Bodegas y Oficinas</t>
        </is>
      </c>
      <c r="C18" s="3" t="inlineStr">
        <is>
          <t>m3</t>
        </is>
      </c>
      <c r="D18" s="3" t="n">
        <v>808</v>
      </c>
      <c r="E18" s="3" t="n">
        <v>891</v>
      </c>
      <c r="F18" s="3" t="inlineStr"/>
      <c r="G18" s="9" t="n"/>
      <c r="H18" s="9">
        <f>IF(G18="","",E18*G18)</f>
        <v/>
      </c>
    </row>
    <row r="19">
      <c r="A19" s="3" t="inlineStr">
        <is>
          <t>1.17</t>
        </is>
      </c>
      <c r="B19" s="3" t="inlineStr">
        <is>
          <t>Hormigón G-04 Emplantillado Fundaciones Galpones y Oficinas</t>
        </is>
      </c>
      <c r="C19" s="3" t="inlineStr">
        <is>
          <t>m3</t>
        </is>
      </c>
      <c r="D19" s="3" t="n">
        <v>56</v>
      </c>
      <c r="E19" s="3" t="n">
        <v>62</v>
      </c>
      <c r="F19" s="3" t="inlineStr"/>
      <c r="G19" s="9" t="n"/>
      <c r="H19" s="9">
        <f>IF(G19="","",E19*G19)</f>
        <v/>
      </c>
    </row>
    <row r="20">
      <c r="A20" s="3" t="inlineStr">
        <is>
          <t>1.18</t>
        </is>
      </c>
      <c r="B20" s="3" t="inlineStr">
        <is>
          <t>Hormigón G-25 Vigas de Fundación Galpones y Oficinas</t>
        </is>
      </c>
      <c r="C20" s="3" t="inlineStr">
        <is>
          <t>m3</t>
        </is>
      </c>
      <c r="D20" s="3" t="n">
        <v>109</v>
      </c>
      <c r="E20" s="3" t="n">
        <v>121</v>
      </c>
      <c r="F20" s="3" t="inlineStr"/>
      <c r="G20" s="9" t="n"/>
      <c r="H20" s="9">
        <f>IF(G20="","",E20*G20)</f>
        <v/>
      </c>
    </row>
    <row r="21">
      <c r="A21" s="4" t="inlineStr">
        <is>
          <t>1.19</t>
        </is>
      </c>
      <c r="B21" s="4" t="inlineStr">
        <is>
          <t>Hormigón G-25 Pedestales Galpones y Oficinas</t>
        </is>
      </c>
      <c r="C21" s="4" t="inlineStr">
        <is>
          <t>m3</t>
        </is>
      </c>
      <c r="D21" s="4" t="n">
        <v>74</v>
      </c>
      <c r="E21" s="4" t="n">
        <v>82</v>
      </c>
      <c r="F21" s="5" t="inlineStr">
        <is>
          <t>X</t>
        </is>
      </c>
      <c r="G21" s="9" t="n"/>
      <c r="H21" s="9">
        <f>IF(G21="","",E21*G21)</f>
        <v/>
      </c>
    </row>
    <row r="22">
      <c r="A22" s="3" t="inlineStr">
        <is>
          <t>1.20</t>
        </is>
      </c>
      <c r="B22" s="3" t="inlineStr">
        <is>
          <t>Hormigón G-25 Muros Galpones y Oficinas</t>
        </is>
      </c>
      <c r="C22" s="3" t="inlineStr">
        <is>
          <t>m3</t>
        </is>
      </c>
      <c r="D22" s="3" t="n">
        <v>390</v>
      </c>
      <c r="E22" s="3" t="n">
        <v>430</v>
      </c>
      <c r="F22" s="3" t="inlineStr"/>
      <c r="G22" s="9" t="n"/>
      <c r="H22" s="9">
        <f>IF(G22="","",E22*G22)</f>
        <v/>
      </c>
    </row>
    <row r="23">
      <c r="A23" s="3" t="inlineStr">
        <is>
          <t>1.21</t>
        </is>
      </c>
      <c r="B23" s="3" t="inlineStr">
        <is>
          <t>Enfierradura Fundaciones Zapatas Galpones y Oficinas</t>
        </is>
      </c>
      <c r="C23" s="3" t="inlineStr">
        <is>
          <t>kg</t>
        </is>
      </c>
      <c r="D23" s="3" t="n">
        <v>38552</v>
      </c>
      <c r="E23" s="3" t="n">
        <v>42496</v>
      </c>
      <c r="F23" s="3" t="inlineStr"/>
      <c r="G23" s="9" t="n"/>
      <c r="H23" s="9">
        <f>IF(G23="","",E23*G23)</f>
        <v/>
      </c>
    </row>
    <row r="24">
      <c r="A24" s="3" t="inlineStr">
        <is>
          <t>1.22</t>
        </is>
      </c>
      <c r="B24" s="3" t="inlineStr">
        <is>
          <t>Enfierradura Vigas de Fundación Galpones y Oficinas</t>
        </is>
      </c>
      <c r="C24" s="3" t="inlineStr">
        <is>
          <t>kg</t>
        </is>
      </c>
      <c r="D24" s="3" t="n">
        <v>9323</v>
      </c>
      <c r="E24" s="3" t="n">
        <v>10277</v>
      </c>
      <c r="F24" s="3" t="inlineStr"/>
      <c r="G24" s="9" t="n"/>
      <c r="H24" s="9">
        <f>IF(G24="","",E24*G24)</f>
        <v/>
      </c>
    </row>
    <row r="25">
      <c r="A25" s="3" t="inlineStr">
        <is>
          <t>1.23</t>
        </is>
      </c>
      <c r="B25" s="3" t="inlineStr">
        <is>
          <t>Enfierradura Pedestales Galpones y Oficinas</t>
        </is>
      </c>
      <c r="C25" s="3" t="inlineStr">
        <is>
          <t>kg</t>
        </is>
      </c>
      <c r="D25" s="3" t="n">
        <v>19076</v>
      </c>
      <c r="E25" s="3" t="n">
        <v>21028</v>
      </c>
      <c r="F25" s="3" t="inlineStr"/>
      <c r="G25" s="9" t="n"/>
      <c r="H25" s="9">
        <f>IF(G25="","",E25*G25)</f>
        <v/>
      </c>
    </row>
    <row r="26">
      <c r="A26" s="3" t="inlineStr">
        <is>
          <t>1.24</t>
        </is>
      </c>
      <c r="B26" s="3" t="inlineStr">
        <is>
          <t>Enfierradura Muros Galpones y Oficinas</t>
        </is>
      </c>
      <c r="C26" s="3" t="inlineStr">
        <is>
          <t>kg</t>
        </is>
      </c>
      <c r="D26" s="3" t="n">
        <v>21668</v>
      </c>
      <c r="E26" s="3" t="n">
        <v>23885</v>
      </c>
      <c r="F26" s="3" t="inlineStr"/>
      <c r="G26" s="9" t="n"/>
      <c r="H26" s="9">
        <f>IF(G26="","",E26*G26)</f>
        <v/>
      </c>
    </row>
    <row r="27">
      <c r="A27" s="3" t="inlineStr">
        <is>
          <t>1.25</t>
        </is>
      </c>
      <c r="B27" s="3" t="inlineStr">
        <is>
          <t>Demolición de Aceras</t>
        </is>
      </c>
      <c r="C27" s="3" t="inlineStr">
        <is>
          <t>m2</t>
        </is>
      </c>
      <c r="D27" s="3" t="n">
        <v>54</v>
      </c>
      <c r="E27" s="3" t="n">
        <v>60</v>
      </c>
      <c r="F27" s="3" t="inlineStr"/>
      <c r="G27" s="9" t="n"/>
      <c r="H27" s="9">
        <f>IF(G27="","",E27*G27)</f>
        <v/>
      </c>
    </row>
    <row r="28">
      <c r="A28" s="4" t="inlineStr">
        <is>
          <t>1.26</t>
        </is>
      </c>
      <c r="B28" s="4" t="inlineStr">
        <is>
          <t>Remoción de Soleras</t>
        </is>
      </c>
      <c r="C28" s="4" t="inlineStr">
        <is>
          <t>m</t>
        </is>
      </c>
      <c r="D28" s="4" t="n">
        <v>42</v>
      </c>
      <c r="E28" s="4" t="n">
        <v>45</v>
      </c>
      <c r="F28" s="5" t="inlineStr">
        <is>
          <t>X</t>
        </is>
      </c>
      <c r="G28" s="9" t="n"/>
      <c r="H28" s="9">
        <f>IF(G28="","",E28*G28)</f>
        <v/>
      </c>
    </row>
    <row r="29">
      <c r="A29" s="3" t="inlineStr">
        <is>
          <t>1.27</t>
        </is>
      </c>
      <c r="B29" s="3" t="inlineStr">
        <is>
          <t>Solera Tipo A</t>
        </is>
      </c>
      <c r="C29" s="3" t="inlineStr">
        <is>
          <t>m</t>
        </is>
      </c>
      <c r="D29" s="3" t="n">
        <v>1233</v>
      </c>
      <c r="E29" s="3" t="n">
        <v>1359</v>
      </c>
      <c r="F29" s="3" t="inlineStr"/>
      <c r="G29" s="9" t="n"/>
      <c r="H29" s="9">
        <f>IF(G29="","",E29*G29)</f>
        <v/>
      </c>
    </row>
    <row r="30">
      <c r="A30" s="18" t="n">
        <v>2</v>
      </c>
      <c r="B30" s="19" t="inlineStr">
        <is>
          <t>2.0  ESTRUCTURAS, REVESTIMIENTOS, CUBIERTAS Y TERMINACIONES</t>
        </is>
      </c>
      <c r="C30" s="19" t="n"/>
      <c r="D30" s="19" t="n"/>
      <c r="E30" s="19" t="n"/>
      <c r="F30" s="19" t="n"/>
      <c r="G30" s="19" t="n"/>
      <c r="H30" s="19" t="n"/>
    </row>
    <row r="31">
      <c r="A31" s="3" t="inlineStr">
        <is>
          <t>2.1</t>
        </is>
      </c>
      <c r="B31" s="3" t="inlineStr">
        <is>
          <t>Estructura Metalica Montado y Pintado</t>
        </is>
      </c>
      <c r="C31" s="3" t="inlineStr">
        <is>
          <t>Kg</t>
        </is>
      </c>
      <c r="D31" s="3" t="n">
        <v>527149</v>
      </c>
      <c r="E31" s="3" t="n">
        <v>581078</v>
      </c>
      <c r="F31" s="3" t="inlineStr"/>
      <c r="G31" s="9" t="n"/>
      <c r="H31" s="9">
        <f>IF(G31="","",E31*G31)</f>
        <v/>
      </c>
    </row>
    <row r="32">
      <c r="A32" s="3" t="inlineStr">
        <is>
          <t>2.2</t>
        </is>
      </c>
      <c r="B32" s="3" t="inlineStr">
        <is>
          <t>Aislación</t>
        </is>
      </c>
      <c r="C32" s="3" t="inlineStr">
        <is>
          <t>m2</t>
        </is>
      </c>
      <c r="D32" s="3" t="n">
        <v>13897</v>
      </c>
      <c r="E32" s="3" t="n">
        <v>15319</v>
      </c>
      <c r="F32" s="3" t="inlineStr"/>
      <c r="G32" s="9" t="n"/>
      <c r="H32" s="9">
        <f>IF(G32="","",E32*G32)</f>
        <v/>
      </c>
    </row>
    <row r="33">
      <c r="A33" s="3" t="inlineStr">
        <is>
          <t>2.3</t>
        </is>
      </c>
      <c r="B33" s="3" t="inlineStr">
        <is>
          <t>Divisiones interiores bodegas</t>
        </is>
      </c>
      <c r="C33" s="3" t="inlineStr">
        <is>
          <t>m2</t>
        </is>
      </c>
      <c r="D33" s="3" t="n">
        <v>6918</v>
      </c>
      <c r="E33" s="3" t="n">
        <v>7626</v>
      </c>
      <c r="F33" s="3" t="inlineStr"/>
      <c r="G33" s="9" t="n"/>
      <c r="H33" s="9">
        <f>IF(G33="","",E33*G33)</f>
        <v/>
      </c>
    </row>
    <row r="34">
      <c r="A34" s="3" t="inlineStr">
        <is>
          <t>2.4</t>
        </is>
      </c>
      <c r="B34" s="3" t="inlineStr">
        <is>
          <t>Oficinas</t>
        </is>
      </c>
      <c r="C34" s="3" t="inlineStr">
        <is>
          <t>m2</t>
        </is>
      </c>
      <c r="D34" s="3" t="n">
        <v>2006</v>
      </c>
      <c r="E34" s="3" t="n">
        <v>2211</v>
      </c>
      <c r="F34" s="3" t="inlineStr"/>
      <c r="G34" s="9" t="n"/>
      <c r="H34" s="9">
        <f>IF(G34="","",E34*G34)</f>
        <v/>
      </c>
    </row>
    <row r="35">
      <c r="A35" s="3" t="inlineStr">
        <is>
          <t>2.5</t>
        </is>
      </c>
      <c r="B35" s="3" t="inlineStr">
        <is>
          <t>Drenes (CuboDren)</t>
        </is>
      </c>
      <c r="C35" s="3" t="inlineStr">
        <is>
          <t>m3</t>
        </is>
      </c>
      <c r="D35" s="3" t="n">
        <v>527</v>
      </c>
      <c r="E35" s="3" t="n">
        <v>581</v>
      </c>
      <c r="F35" s="3" t="inlineStr"/>
      <c r="G35" s="9" t="n"/>
      <c r="H35" s="9">
        <f>IF(G35="","",E35*G35)</f>
        <v/>
      </c>
    </row>
    <row r="36">
      <c r="A36" s="3" t="inlineStr">
        <is>
          <t>2.6</t>
        </is>
      </c>
      <c r="B36" s="3" t="inlineStr">
        <is>
          <t>Portones Bodegas</t>
        </is>
      </c>
      <c r="C36" s="3" t="inlineStr">
        <is>
          <t>N°</t>
        </is>
      </c>
      <c r="D36" s="3" t="n">
        <v>29</v>
      </c>
      <c r="E36" s="3" t="n">
        <v>32</v>
      </c>
      <c r="F36" s="3" t="inlineStr"/>
      <c r="G36" s="9" t="n"/>
      <c r="H36" s="9">
        <f>IF(G36="","",E36*G36)</f>
        <v/>
      </c>
    </row>
    <row r="37">
      <c r="A37" s="3" t="inlineStr">
        <is>
          <t>2.7</t>
        </is>
      </c>
      <c r="B37" s="3" t="inlineStr">
        <is>
          <t>Puertas exteriores</t>
        </is>
      </c>
      <c r="C37" s="3" t="inlineStr">
        <is>
          <t>N°</t>
        </is>
      </c>
      <c r="D37" s="3" t="n">
        <v>29</v>
      </c>
      <c r="E37" s="3" t="n">
        <v>32</v>
      </c>
      <c r="F37" s="3" t="inlineStr"/>
      <c r="G37" s="9" t="n"/>
      <c r="H37" s="9">
        <f>IF(G37="","",E37*G37)</f>
        <v/>
      </c>
    </row>
    <row r="38">
      <c r="A38" s="3" t="inlineStr">
        <is>
          <t>2.8</t>
        </is>
      </c>
      <c r="B38" s="3" t="inlineStr">
        <is>
          <t>Muros cortinas, ventanas y puertas vidriadas</t>
        </is>
      </c>
      <c r="C38" s="3" t="inlineStr">
        <is>
          <t>m2</t>
        </is>
      </c>
      <c r="D38" s="3" t="n">
        <v>709</v>
      </c>
      <c r="E38" s="3" t="n">
        <v>781</v>
      </c>
      <c r="F38" s="3" t="inlineStr"/>
      <c r="G38" s="9" t="n"/>
      <c r="H38" s="9">
        <f>IF(G38="","",E38*G38)</f>
        <v/>
      </c>
    </row>
    <row r="39">
      <c r="A39" s="3" t="inlineStr">
        <is>
          <t>2.9</t>
        </is>
      </c>
      <c r="B39" s="3" t="inlineStr">
        <is>
          <t>Porteria Acogida, bicicletero y barrera acceso</t>
        </is>
      </c>
      <c r="C39" s="3" t="inlineStr">
        <is>
          <t>m2</t>
        </is>
      </c>
      <c r="D39" s="3" t="n">
        <v>52</v>
      </c>
      <c r="E39" s="3" t="n">
        <v>58</v>
      </c>
      <c r="F39" s="3" t="inlineStr"/>
      <c r="G39" s="9" t="n"/>
      <c r="H39" s="9">
        <f>IF(G39="","",E39*G39)</f>
        <v/>
      </c>
    </row>
    <row r="40">
      <c r="A40" s="3" t="inlineStr">
        <is>
          <t>2.10</t>
        </is>
      </c>
      <c r="B40" s="3" t="inlineStr">
        <is>
          <t>Sala electrica</t>
        </is>
      </c>
      <c r="C40" s="3" t="inlineStr">
        <is>
          <t>m2</t>
        </is>
      </c>
      <c r="D40" s="3" t="n">
        <v>32</v>
      </c>
      <c r="E40" s="3" t="n">
        <v>35</v>
      </c>
      <c r="F40" s="3" t="inlineStr"/>
      <c r="G40" s="9" t="n"/>
      <c r="H40" s="9">
        <f>IF(G40="","",E40*G40)</f>
        <v/>
      </c>
    </row>
    <row r="41">
      <c r="A41" s="3" t="inlineStr">
        <is>
          <t>2.11</t>
        </is>
      </c>
      <c r="B41" s="3" t="inlineStr">
        <is>
          <t>Sala agua potable</t>
        </is>
      </c>
      <c r="C41" s="3" t="inlineStr">
        <is>
          <t>m2</t>
        </is>
      </c>
      <c r="D41" s="3" t="n">
        <v>19</v>
      </c>
      <c r="E41" s="3" t="n">
        <v>22</v>
      </c>
      <c r="F41" s="3" t="inlineStr"/>
      <c r="G41" s="9" t="n"/>
      <c r="H41" s="9">
        <f>IF(G41="","",E41*G41)</f>
        <v/>
      </c>
    </row>
    <row r="42">
      <c r="A42" s="3" t="inlineStr">
        <is>
          <t>2.12</t>
        </is>
      </c>
      <c r="B42" s="3" t="inlineStr">
        <is>
          <t>Sala residuos</t>
        </is>
      </c>
      <c r="C42" s="3" t="inlineStr">
        <is>
          <t>m2</t>
        </is>
      </c>
      <c r="D42" s="3" t="n">
        <v>21</v>
      </c>
      <c r="E42" s="3" t="n">
        <v>24</v>
      </c>
      <c r="F42" s="3" t="inlineStr"/>
      <c r="G42" s="9" t="n"/>
      <c r="H42" s="9">
        <f>IF(G42="","",E42*G42)</f>
        <v/>
      </c>
    </row>
    <row r="43">
      <c r="A43" s="3" t="inlineStr">
        <is>
          <t>2.13</t>
        </is>
      </c>
      <c r="B43" s="3" t="inlineStr">
        <is>
          <t>Cierre Perimetral Acmaford</t>
        </is>
      </c>
      <c r="C43" s="3" t="inlineStr">
        <is>
          <t>ml</t>
        </is>
      </c>
      <c r="D43" s="3" t="n">
        <v>216</v>
      </c>
      <c r="E43" s="3" t="n">
        <v>238</v>
      </c>
      <c r="F43" s="3" t="inlineStr"/>
      <c r="G43" s="9" t="n"/>
      <c r="H43" s="9">
        <f>IF(G43="","",E43*G43)</f>
        <v/>
      </c>
    </row>
    <row r="44">
      <c r="A44" s="4" t="inlineStr">
        <is>
          <t>2.14</t>
        </is>
      </c>
      <c r="B44" s="4" t="inlineStr">
        <is>
          <t>Cierre perimetral Bulldog</t>
        </is>
      </c>
      <c r="C44" s="4" t="inlineStr">
        <is>
          <t>ml</t>
        </is>
      </c>
      <c r="D44" s="4" t="n">
        <v>330</v>
      </c>
      <c r="E44" s="4" t="n">
        <v>364</v>
      </c>
      <c r="F44" s="5" t="inlineStr">
        <is>
          <t>X</t>
        </is>
      </c>
      <c r="G44" s="9" t="n"/>
      <c r="H44" s="9">
        <f>IF(G44="","",E44*G44)</f>
        <v/>
      </c>
    </row>
    <row r="46">
      <c r="B46" s="6" t="inlineStr">
        <is>
          <t>TOTAL GRUPO 7 (solo partidas con cantidad)</t>
        </is>
      </c>
    </row>
    <row r="48">
      <c r="B48" s="10" t="inlineStr">
        <is>
          <t>RESUMEN DE VALORIZACIÓN (GRUPO 7)</t>
        </is>
      </c>
    </row>
    <row r="49">
      <c r="B49" s="11" t="inlineStr">
        <is>
          <t>Costo directo total ($)</t>
        </is>
      </c>
      <c r="C49" s="12">
        <f>SUM(H3:H44)</f>
        <v/>
      </c>
    </row>
    <row r="50">
      <c r="B50" s="11" t="inlineStr">
        <is>
          <t>Gastos generales (%)</t>
        </is>
      </c>
      <c r="C50" s="13" t="n"/>
    </row>
    <row r="51">
      <c r="B51" s="11" t="inlineStr">
        <is>
          <t>Gastos generales ($)</t>
        </is>
      </c>
      <c r="C51" s="12">
        <f>C49*C50</f>
        <v/>
      </c>
    </row>
    <row r="52">
      <c r="B52" s="11" t="inlineStr">
        <is>
          <t>Utilidad (%)</t>
        </is>
      </c>
      <c r="C52" s="13" t="n"/>
    </row>
    <row r="53">
      <c r="B53" s="11" t="inlineStr">
        <is>
          <t>Utilidad ($)</t>
        </is>
      </c>
      <c r="C53" s="12">
        <f>(C49+C51)*C52</f>
        <v/>
      </c>
    </row>
    <row r="54">
      <c r="B54" s="14" t="inlineStr">
        <is>
          <t>PRECIO DE VENTA TOTAL ($)</t>
        </is>
      </c>
      <c r="C54" s="15">
        <f>C49+C51+C53</f>
        <v/>
      </c>
    </row>
  </sheetData>
  <mergeCells count="2">
    <mergeCell ref="B30:H30"/>
    <mergeCell ref="B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8" customWidth="1" min="3" max="3"/>
    <col width="14" customWidth="1" min="4" max="4"/>
    <col width="16" customWidth="1" min="5" max="5"/>
    <col width="40" customWidth="1" min="6" max="6"/>
  </cols>
  <sheetData>
    <row r="1">
      <c r="A1" s="1" t="inlineStr">
        <is>
          <t>Ítem partida</t>
        </is>
      </c>
      <c r="B1" s="1" t="inlineStr">
        <is>
          <t>Insumo</t>
        </is>
      </c>
      <c r="C1" s="1" t="inlineStr">
        <is>
          <t>Unidad</t>
        </is>
      </c>
      <c r="D1" s="1" t="inlineStr">
        <is>
          <t>Cantidad por unidad de partida</t>
        </is>
      </c>
      <c r="E1" s="1" t="inlineStr">
        <is>
          <t>Precio unitario ($)</t>
        </is>
      </c>
      <c r="F1" s="1" t="inlineStr">
        <is>
          <t>Fuente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95" customWidth="1" min="2" max="2"/>
    <col width="18" customWidth="1" min="3" max="3"/>
    <col width="45" customWidth="1" min="4" max="4"/>
  </cols>
  <sheetData>
    <row r="1">
      <c r="A1" s="1" t="inlineStr">
        <is>
          <t>N°</t>
        </is>
      </c>
      <c r="B1" s="1" t="inlineStr">
        <is>
          <t>Ítem de gasto general (enunciado)</t>
        </is>
      </c>
      <c r="C1" s="1" t="inlineStr">
        <is>
          <t>Valor estimado ($)</t>
        </is>
      </c>
      <c r="D1" s="1" t="inlineStr">
        <is>
          <t>Fuente / justificación</t>
        </is>
      </c>
    </row>
    <row r="2">
      <c r="A2" t="n">
        <v>1</v>
      </c>
      <c r="B2" t="inlineStr">
        <is>
          <t>Personal administrativo y directivo del contrato (residente, jefe de terreno, jefe administrativo, prevencionista de riesgos, topógrafo)</t>
        </is>
      </c>
    </row>
    <row r="3">
      <c r="A3" t="n">
        <v>2</v>
      </c>
      <c r="B3" t="inlineStr">
        <is>
          <t>Personal auxiliar (ayudante de topografía, bodeguero, personal de casino, etc.)</t>
        </is>
      </c>
    </row>
    <row r="4">
      <c r="A4" t="n">
        <v>3</v>
      </c>
      <c r="B4" t="inlineStr">
        <is>
          <t>Equipamiento de topografía</t>
        </is>
      </c>
    </row>
    <row r="5">
      <c r="A5" t="n">
        <v>4</v>
      </c>
      <c r="B5" t="inlineStr">
        <is>
          <t>Laboratorio, estudios de suelo y estructural</t>
        </is>
      </c>
    </row>
    <row r="6">
      <c r="A6" t="n">
        <v>5</v>
      </c>
      <c r="B6" t="inlineStr">
        <is>
          <t>Insumos de instalaciones (agua, gas, electricidad, agua potable, internet)</t>
        </is>
      </c>
    </row>
    <row r="7">
      <c r="A7" t="n">
        <v>6</v>
      </c>
      <c r="B7" t="inlineStr">
        <is>
          <t>Fotografías, videos, planos</t>
        </is>
      </c>
    </row>
    <row r="8">
      <c r="A8" t="n">
        <v>7</v>
      </c>
      <c r="B8" t="inlineStr">
        <is>
          <t>Movilización</t>
        </is>
      </c>
    </row>
    <row r="9">
      <c r="A9" t="n">
        <v>8</v>
      </c>
      <c r="B9" t="inlineStr">
        <is>
          <t>Combustible</t>
        </is>
      </c>
    </row>
    <row r="10">
      <c r="A10" t="n">
        <v>9</v>
      </c>
      <c r="B10" t="inlineStr">
        <is>
          <t>Viáticos</t>
        </is>
      </c>
    </row>
    <row r="11">
      <c r="A11" t="n">
        <v>10</v>
      </c>
      <c r="B11" t="inlineStr">
        <is>
          <t>Traslado de maquinarias</t>
        </is>
      </c>
    </row>
    <row r="12">
      <c r="A12" t="n">
        <v>11</v>
      </c>
      <c r="B12" t="inlineStr">
        <is>
          <t>Gastos de representación y oficina central</t>
        </is>
      </c>
    </row>
    <row r="13">
      <c r="A13" t="n">
        <v>12</v>
      </c>
      <c r="B13" t="inlineStr">
        <is>
          <t>Boleta de garantía</t>
        </is>
      </c>
    </row>
    <row r="14">
      <c r="A14" t="n">
        <v>13</v>
      </c>
      <c r="B14" t="inlineStr">
        <is>
          <t>Seguro de todo riesgo montaje y construcción</t>
        </is>
      </c>
    </row>
    <row r="15">
      <c r="A15" t="n">
        <v>14</v>
      </c>
      <c r="B15" t="inlineStr">
        <is>
          <t>Letrero de obras</t>
        </is>
      </c>
    </row>
    <row r="16">
      <c r="A16" t="n">
        <v>15</v>
      </c>
      <c r="B16" t="inlineStr">
        <is>
          <t>Libro de obra digital</t>
        </is>
      </c>
    </row>
    <row r="17">
      <c r="A17" t="n">
        <v>16</v>
      </c>
      <c r="B17" t="inlineStr">
        <is>
          <t>Limpieza de obra diaria y final</t>
        </is>
      </c>
    </row>
    <row r="18">
      <c r="B18" s="6" t="inlineStr">
        <is>
          <t>TOTAL GASTOS GENERALES ($)</t>
        </is>
      </c>
      <c r="C18" s="16">
        <f>SUM(C2:C17)</f>
        <v/>
      </c>
    </row>
    <row r="19">
      <c r="B19" s="6" t="inlineStr">
        <is>
          <t>% sobre costo directo</t>
        </is>
      </c>
      <c r="C19" s="17">
        <f>'Itemizado Grupo 7'!C50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2026-10-17T16:43:08Z</dcterms:created>
  <dcterms:modified xmlns:dcterms="http://purl.org/dc/terms/" xmlns:xsi="http://www.w3.org/2001/XMLSchema-instance" xsi:type="dcterms:W3CDTF">2026-10-17T16:59:33Z</dcterms:modified>
</cp:coreProperties>
</file>